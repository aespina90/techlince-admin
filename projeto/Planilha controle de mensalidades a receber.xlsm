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d4ad943bf85a4c83" Type="http://schemas.microsoft.com/office/2006/relationships/ui/extensibility" Target="customUI/customUI.xml"/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Gustavo\Desktop\"/>
    </mc:Choice>
  </mc:AlternateContent>
  <bookViews>
    <workbookView showSheetTabs="0" xWindow="-120" yWindow="-120" windowWidth="20640" windowHeight="11160"/>
  </bookViews>
  <sheets>
    <sheet name="painel" sheetId="5" r:id="rId1"/>
    <sheet name="clientes" sheetId="2" r:id="rId2"/>
    <sheet name="C_recebidas" sheetId="3" r:id="rId3"/>
    <sheet name="relMesAno" sheetId="4" r:id="rId4"/>
    <sheet name="relSituac" sheetId="7" r:id="rId5"/>
    <sheet name="vendas" sheetId="8" r:id="rId6"/>
    <sheet name="vendasRCB" sheetId="9" r:id="rId7"/>
    <sheet name="relVdMesAno" sheetId="10" r:id="rId8"/>
    <sheet name="calculos" sheetId="6" r:id="rId9"/>
  </sheets>
  <calcPr calcId="152511"/>
  <pivotCaches>
    <pivotCache cacheId="0" r:id="rId10"/>
    <pivotCache cacheId="1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4" i="6" l="1"/>
  <c r="B4" i="6"/>
</calcChain>
</file>

<file path=xl/sharedStrings.xml><?xml version="1.0" encoding="utf-8"?>
<sst xmlns="http://schemas.openxmlformats.org/spreadsheetml/2006/main" count="84" uniqueCount="46">
  <si>
    <t>PRODUTO</t>
  </si>
  <si>
    <t>R</t>
  </si>
  <si>
    <t>MÊS</t>
  </si>
  <si>
    <t>ANO</t>
  </si>
  <si>
    <t>SITUAÇÃO</t>
  </si>
  <si>
    <t>PLANO</t>
  </si>
  <si>
    <t>DATA VENCIMENTO</t>
  </si>
  <si>
    <t>NOME DO CLIENTE</t>
  </si>
  <si>
    <t>VALOR R$</t>
  </si>
  <si>
    <t>tt</t>
  </si>
  <si>
    <t>aaa</t>
  </si>
  <si>
    <t>Outubro</t>
  </si>
  <si>
    <t>aaaaa</t>
  </si>
  <si>
    <t>testet</t>
  </si>
  <si>
    <t>1 mega</t>
  </si>
  <si>
    <t>TESTE2</t>
  </si>
  <si>
    <t>AAAA</t>
  </si>
  <si>
    <t>SSSS</t>
  </si>
  <si>
    <t>qqqqqqq</t>
  </si>
  <si>
    <t>ss</t>
  </si>
  <si>
    <t>TVS</t>
  </si>
  <si>
    <t>TETSAR</t>
  </si>
  <si>
    <t>Ilimitado</t>
  </si>
  <si>
    <t>DATA PGTO</t>
  </si>
  <si>
    <t>Total Geral</t>
  </si>
  <si>
    <t>(Tudo)</t>
  </si>
  <si>
    <t/>
  </si>
  <si>
    <t>CLIENTES</t>
  </si>
  <si>
    <t>Relatório mês / ano</t>
  </si>
  <si>
    <t>C++</t>
  </si>
  <si>
    <t>Carlos de Souza</t>
  </si>
  <si>
    <t>IPTV as1</t>
  </si>
  <si>
    <t>plus</t>
  </si>
  <si>
    <t>Clientes OK</t>
  </si>
  <si>
    <t>ClientesVenceHoje</t>
  </si>
  <si>
    <t>ClientesAtrasados</t>
  </si>
  <si>
    <t>SomaAtrasados</t>
  </si>
  <si>
    <t>SomaVenceHoje</t>
  </si>
  <si>
    <t>SomaOK</t>
  </si>
  <si>
    <t>TotalClientes</t>
  </si>
  <si>
    <t>SomaTotal</t>
  </si>
  <si>
    <t>RELATÓRIO DE CONTAS - ATRASADO</t>
  </si>
  <si>
    <t>DESCRIÇÃO</t>
  </si>
  <si>
    <t>Cliente</t>
  </si>
  <si>
    <t>Mês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</si>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</sst>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&quot;R$&quot;* #,##0.00_);_(&quot;R$&quot;* \(#,##0.00\);_(&quot;R$&quot;* &quot;-&quot;??_);_(@_)"/>
  </numFmts>
  <fonts count="3" x14ac:knownFonts="1">
    <font>
      <sz val="11"/>
      <color theme="1"/>
      <name val="Calibri"/>
      <family val="2"/>
      <scheme val="minor"/>
    </font>
    <font>
      <sz val="11.5"/>
      <color theme="1"/>
      <name val="Calibri"/>
      <family val="2"/>
      <scheme val="minor"/>
    </font>
    <font>
      <sz val="14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164" fontId="0" fillId="0" borderId="0" xfId="0" applyNumberFormat="1" applyAlignment="1">
      <alignment vertical="center"/>
    </xf>
    <xf numFmtId="0" fontId="1" fillId="0" borderId="0" xfId="0" applyFont="1" applyAlignment="1">
      <alignment horizontal="center" vertical="top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64" fontId="0" fillId="0" borderId="0" xfId="0" pivotButton="1" applyNumberFormat="1" applyAlignment="1">
      <alignment horizontal="center" vertical="center"/>
    </xf>
    <xf numFmtId="164" fontId="0" fillId="0" borderId="0" xfId="0" pivotButton="1" applyNumberFormat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164" fontId="0" fillId="0" borderId="0" xfId="0" applyNumberFormat="1"/>
    <xf numFmtId="1" fontId="0" fillId="0" borderId="0" xfId="0" applyNumberFormat="1" applyAlignment="1">
      <alignment horizont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vertical="top"/>
    </xf>
  </cellXfs>
  <cellStyles count="1">
    <cellStyle name="Normal" xfId="0" builtinId="0"/>
  </cellStyles>
  <dxfs count="65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alignment horizontal="left" readingOrder="0"/>
    </dxf>
    <dxf>
      <numFmt numFmtId="164" formatCode="_(&quot;R$&quot;* #,##0.00_);_(&quot;R$&quot;* \(#,##0.00\);_(&quot;R$&quot;* &quot;-&quot;??_);_(@_)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vertical="center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65" formatCode="m/d/yyyy"/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65" formatCode="m/d/yyyy"/>
      <alignment horizontal="center" vertical="center" textRotation="0" wrapText="0" indent="0" justifyLastLine="0" shrinkToFit="0" readingOrder="0"/>
    </dxf>
    <dxf>
      <numFmt numFmtId="164" formatCode="_(&quot;R$&quot;* #,##0.00_);_(&quot;R$&quot;* \(#,##0.00\);_(&quot;R$&quot;* &quot;-&quot;??_);_(@_)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65" formatCode="m/d/yyyy"/>
      <alignment horizontal="center" vertical="center" textRotation="0" wrapText="0" indent="0" justifyLastLine="0" shrinkToFit="0" readingOrder="0"/>
    </dxf>
    <dxf>
      <numFmt numFmtId="164" formatCode="_(&quot;R$&quot;* #,##0.00_);_(&quot;R$&quot;* \(#,##0.00\);_(&quot;R$&quot;* &quot;-&quot;??_);_(@_)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165" formatCode="m/d/yyyy"/>
      <alignment horizontal="center" vertical="center" textRotation="0" wrapText="0" indent="0" justifyLastLine="0" shrinkToFit="0" readingOrder="0"/>
    </dxf>
    <dxf>
      <numFmt numFmtId="164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center" readingOrder="0"/>
    </dxf>
    <dxf>
      <numFmt numFmtId="164" formatCode="_(&quot;R$&quot;* #,##0.00_);_(&quot;R$&quot;* \(#,##0.00\);_(&quot;R$&quot;* &quot;-&quot;??_);_(@_)"/>
    </dxf>
    <dxf>
      <alignment horizontal="center" readingOrder="0"/>
    </dxf>
    <dxf>
      <alignment vertical="center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m/d/yyyy"/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165" formatCode="m/d/yyyy"/>
      <alignment horizontal="center" vertical="center" textRotation="0" wrapText="0" indent="0" justifyLastLine="0" shrinkToFit="0" readingOrder="0"/>
    </dxf>
    <dxf>
      <numFmt numFmtId="164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65" formatCode="m/d/yyyy"/>
      <alignment horizontal="center" vertical="center" textRotation="0" wrapText="0" indent="0" justifyLastLine="0" shrinkToFit="0" readingOrder="0"/>
    </dxf>
    <dxf>
      <numFmt numFmtId="164" formatCode="_(&quot;R$&quot;* #,##0.00_);_(&quot;R$&quot;* \(#,##0.00\);_(&quot;R$&quot;* &quot;-&quot;??_);_(@_)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.5"/>
        <color theme="1"/>
        <name val="Calibri"/>
        <scheme val="minor"/>
      </font>
      <alignment horizontal="center" vertical="top" textRotation="0" wrapText="0" indent="0" justifyLastLine="0" shrinkToFit="0" readingOrder="0"/>
    </dxf>
    <dxf>
      <font>
        <color theme="0"/>
      </font>
      <fill>
        <patternFill>
          <bgColor theme="3" tint="0.39994506668294322"/>
        </patternFill>
      </fill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</dxfs>
  <tableStyles count="1" defaultTableStyle="TableStyleMedium2" defaultPivotStyle="PivotStyleLight16">
    <tableStyle name="TableStyleLight13 2" pivot="0" count="2">
      <tableStyleElement type="wholeTable" dxfId="64"/>
      <tableStyleElement type="headerRow" dxfId="63"/>
    </tableStyle>
  </tableStyles>
  <colors>
    <mruColors>
      <color rgb="FFFF9933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5</xdr:row>
      <xdr:rowOff>1</xdr:rowOff>
    </xdr:from>
    <xdr:to>
      <xdr:col>18</xdr:col>
      <xdr:colOff>38100</xdr:colOff>
      <xdr:row>21</xdr:row>
      <xdr:rowOff>180975</xdr:rowOff>
    </xdr:to>
    <xdr:sp macro="" textlink="">
      <xdr:nvSpPr>
        <xdr:cNvPr id="22" name="Retângulo 21">
          <a:extLst>
            <a:ext uri="{FF2B5EF4-FFF2-40B4-BE49-F238E27FC236}">
              <a16:creationId xmlns="" xmlns:a16="http://schemas.microsoft.com/office/drawing/2014/main" id="{00000000-0008-0000-0000-000016000000}"/>
            </a:ext>
          </a:extLst>
        </xdr:cNvPr>
        <xdr:cNvSpPr/>
      </xdr:nvSpPr>
      <xdr:spPr>
        <a:xfrm>
          <a:off x="133350" y="952501"/>
          <a:ext cx="10877550" cy="3228974"/>
        </a:xfrm>
        <a:prstGeom prst="rect">
          <a:avLst/>
        </a:prstGeom>
        <a:gradFill flip="none" rotWithShape="1">
          <a:gsLst>
            <a:gs pos="0">
              <a:schemeClr val="bg1">
                <a:lumMod val="95000"/>
                <a:shade val="30000"/>
                <a:satMod val="115000"/>
              </a:schemeClr>
            </a:gs>
            <a:gs pos="50000">
              <a:schemeClr val="bg1">
                <a:lumMod val="95000"/>
                <a:shade val="67500"/>
                <a:satMod val="115000"/>
              </a:schemeClr>
            </a:gs>
            <a:gs pos="100000">
              <a:schemeClr val="bg1">
                <a:lumMod val="95000"/>
                <a:shade val="100000"/>
                <a:satMod val="115000"/>
              </a:schemeClr>
            </a:gs>
          </a:gsLst>
          <a:lin ang="27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571500</xdr:colOff>
      <xdr:row>6</xdr:row>
      <xdr:rowOff>171449</xdr:rowOff>
    </xdr:from>
    <xdr:to>
      <xdr:col>8</xdr:col>
      <xdr:colOff>561975</xdr:colOff>
      <xdr:row>10</xdr:row>
      <xdr:rowOff>129449</xdr:rowOff>
    </xdr:to>
    <xdr:sp macro="" textlink="">
      <xdr:nvSpPr>
        <xdr:cNvPr id="2" name="Retângulo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3009900" y="1314449"/>
          <a:ext cx="2428875" cy="720000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400" b="0"/>
            <a:t> CONTAS EM</a:t>
          </a:r>
          <a:r>
            <a:rPr lang="pt-BR" sz="1400" b="0" baseline="0"/>
            <a:t> DIA</a:t>
          </a:r>
          <a:endParaRPr lang="pt-BR" sz="1400" b="0"/>
        </a:p>
      </xdr:txBody>
    </xdr:sp>
    <xdr:clientData/>
  </xdr:twoCellAnchor>
  <xdr:twoCellAnchor>
    <xdr:from>
      <xdr:col>4</xdr:col>
      <xdr:colOff>561975</xdr:colOff>
      <xdr:row>11</xdr:row>
      <xdr:rowOff>47624</xdr:rowOff>
    </xdr:from>
    <xdr:to>
      <xdr:col>8</xdr:col>
      <xdr:colOff>552450</xdr:colOff>
      <xdr:row>13</xdr:row>
      <xdr:rowOff>133350</xdr:rowOff>
    </xdr:to>
    <xdr:sp macro="" textlink="calculos!B1">
      <xdr:nvSpPr>
        <xdr:cNvPr id="3" name="Retângulo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3000375" y="2143124"/>
          <a:ext cx="2428875" cy="466726"/>
        </a:xfrm>
        <a:prstGeom prst="rect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CDAD646-57E0-404C-83E2-428FEDDBDF0D}" type="TxLink">
            <a:rPr lang="en-US" sz="16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0</a:t>
          </a:fld>
          <a:endParaRPr lang="pt-BR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571500</xdr:colOff>
      <xdr:row>14</xdr:row>
      <xdr:rowOff>28574</xdr:rowOff>
    </xdr:from>
    <xdr:to>
      <xdr:col>8</xdr:col>
      <xdr:colOff>561975</xdr:colOff>
      <xdr:row>16</xdr:row>
      <xdr:rowOff>114300</xdr:rowOff>
    </xdr:to>
    <xdr:sp macro="" textlink="">
      <xdr:nvSpPr>
        <xdr:cNvPr id="4" name="Retângulo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3009900" y="2695574"/>
          <a:ext cx="2428875" cy="466726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0"/>
            <a:t>VALOR</a:t>
          </a:r>
          <a:r>
            <a:rPr lang="pt-BR" sz="1400" b="0" baseline="0"/>
            <a:t> R$</a:t>
          </a:r>
          <a:endParaRPr lang="pt-BR" sz="1400" b="0"/>
        </a:p>
      </xdr:txBody>
    </xdr:sp>
    <xdr:clientData/>
  </xdr:twoCellAnchor>
  <xdr:twoCellAnchor>
    <xdr:from>
      <xdr:col>4</xdr:col>
      <xdr:colOff>581025</xdr:colOff>
      <xdr:row>17</xdr:row>
      <xdr:rowOff>19049</xdr:rowOff>
    </xdr:from>
    <xdr:to>
      <xdr:col>8</xdr:col>
      <xdr:colOff>571500</xdr:colOff>
      <xdr:row>19</xdr:row>
      <xdr:rowOff>104775</xdr:rowOff>
    </xdr:to>
    <xdr:sp macro="" textlink="calculos!E1">
      <xdr:nvSpPr>
        <xdr:cNvPr id="5" name="Retângulo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3019425" y="3257549"/>
          <a:ext cx="2428875" cy="466726"/>
        </a:xfrm>
        <a:prstGeom prst="rect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EE7C9B6-8713-4323-B59C-9C93E132FFE5}" type="TxLink">
            <a:rPr lang="en-US" sz="16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R$-   </a:t>
          </a:fld>
          <a:endParaRPr lang="pt-BR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200025</xdr:colOff>
      <xdr:row>6</xdr:row>
      <xdr:rowOff>190499</xdr:rowOff>
    </xdr:from>
    <xdr:to>
      <xdr:col>13</xdr:col>
      <xdr:colOff>190500</xdr:colOff>
      <xdr:row>10</xdr:row>
      <xdr:rowOff>148499</xdr:rowOff>
    </xdr:to>
    <xdr:sp macro="" textlink="">
      <xdr:nvSpPr>
        <xdr:cNvPr id="6" name="Retângulo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5686425" y="1333499"/>
          <a:ext cx="2428875" cy="720000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400" b="0"/>
            <a:t>CONTAS ATRASADAS</a:t>
          </a:r>
        </a:p>
      </xdr:txBody>
    </xdr:sp>
    <xdr:clientData/>
  </xdr:twoCellAnchor>
  <xdr:twoCellAnchor>
    <xdr:from>
      <xdr:col>9</xdr:col>
      <xdr:colOff>190500</xdr:colOff>
      <xdr:row>11</xdr:row>
      <xdr:rowOff>66674</xdr:rowOff>
    </xdr:from>
    <xdr:to>
      <xdr:col>13</xdr:col>
      <xdr:colOff>180975</xdr:colOff>
      <xdr:row>13</xdr:row>
      <xdr:rowOff>152400</xdr:rowOff>
    </xdr:to>
    <xdr:sp macro="" textlink="calculos!B3">
      <xdr:nvSpPr>
        <xdr:cNvPr id="7" name="Retângulo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5676900" y="2162174"/>
          <a:ext cx="2428875" cy="466726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606E932-E02C-4BC2-9D36-33D4DF393D23}" type="TxLink">
            <a:rPr lang="en-US" sz="16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0</a:t>
          </a:fld>
          <a:endParaRPr lang="pt-BR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200025</xdr:colOff>
      <xdr:row>14</xdr:row>
      <xdr:rowOff>47624</xdr:rowOff>
    </xdr:from>
    <xdr:to>
      <xdr:col>13</xdr:col>
      <xdr:colOff>190500</xdr:colOff>
      <xdr:row>16</xdr:row>
      <xdr:rowOff>133350</xdr:rowOff>
    </xdr:to>
    <xdr:sp macro="" textlink="">
      <xdr:nvSpPr>
        <xdr:cNvPr id="8" name="Retângulo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5686425" y="2714624"/>
          <a:ext cx="2428875" cy="466726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0"/>
            <a:t>VALOR</a:t>
          </a:r>
          <a:r>
            <a:rPr lang="pt-BR" sz="1400" b="0" baseline="0"/>
            <a:t> R$</a:t>
          </a:r>
          <a:endParaRPr lang="pt-BR" sz="1400" b="0"/>
        </a:p>
      </xdr:txBody>
    </xdr:sp>
    <xdr:clientData/>
  </xdr:twoCellAnchor>
  <xdr:twoCellAnchor>
    <xdr:from>
      <xdr:col>9</xdr:col>
      <xdr:colOff>209550</xdr:colOff>
      <xdr:row>17</xdr:row>
      <xdr:rowOff>38099</xdr:rowOff>
    </xdr:from>
    <xdr:to>
      <xdr:col>13</xdr:col>
      <xdr:colOff>200025</xdr:colOff>
      <xdr:row>19</xdr:row>
      <xdr:rowOff>123825</xdr:rowOff>
    </xdr:to>
    <xdr:sp macro="" textlink="calculos!E3">
      <xdr:nvSpPr>
        <xdr:cNvPr id="9" name="Retângulo 8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5695950" y="3276599"/>
          <a:ext cx="2428875" cy="466726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4BBDAE1-B4C1-4DB4-93A3-C22F0DD35CC7}" type="TxLink">
            <a:rPr lang="en-US" sz="16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R$-   </a:t>
          </a:fld>
          <a:endParaRPr lang="pt-BR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428625</xdr:colOff>
      <xdr:row>6</xdr:row>
      <xdr:rowOff>190499</xdr:rowOff>
    </xdr:from>
    <xdr:to>
      <xdr:col>17</xdr:col>
      <xdr:colOff>419100</xdr:colOff>
      <xdr:row>10</xdr:row>
      <xdr:rowOff>148499</xdr:rowOff>
    </xdr:to>
    <xdr:sp macro="" textlink="">
      <xdr:nvSpPr>
        <xdr:cNvPr id="10" name="Retângulo 9">
          <a:extLst>
            <a:ext uri="{FF2B5EF4-FFF2-40B4-BE49-F238E27FC236}">
              <a16:creationId xmlns="" xmlns:a16="http://schemas.microsoft.com/office/drawing/2014/main" id="{00000000-0008-0000-0000-00000A000000}"/>
            </a:ext>
          </a:extLst>
        </xdr:cNvPr>
        <xdr:cNvSpPr/>
      </xdr:nvSpPr>
      <xdr:spPr>
        <a:xfrm>
          <a:off x="8353425" y="1333499"/>
          <a:ext cx="2428875" cy="720000"/>
        </a:xfrm>
        <a:prstGeom prst="rect">
          <a:avLst/>
        </a:prstGeom>
        <a:solidFill>
          <a:srgbClr val="FF66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400" b="0"/>
            <a:t>CONTAS QUE </a:t>
          </a:r>
        </a:p>
        <a:p>
          <a:pPr algn="l"/>
          <a:r>
            <a:rPr lang="pt-BR" sz="1400" b="0"/>
            <a:t>VENCEM HOJE</a:t>
          </a:r>
        </a:p>
      </xdr:txBody>
    </xdr:sp>
    <xdr:clientData/>
  </xdr:twoCellAnchor>
  <xdr:twoCellAnchor>
    <xdr:from>
      <xdr:col>13</xdr:col>
      <xdr:colOff>419100</xdr:colOff>
      <xdr:row>11</xdr:row>
      <xdr:rowOff>66674</xdr:rowOff>
    </xdr:from>
    <xdr:to>
      <xdr:col>17</xdr:col>
      <xdr:colOff>409575</xdr:colOff>
      <xdr:row>13</xdr:row>
      <xdr:rowOff>152400</xdr:rowOff>
    </xdr:to>
    <xdr:sp macro="" textlink="calculos!B2">
      <xdr:nvSpPr>
        <xdr:cNvPr id="11" name="Retângulo 10">
          <a:extLst>
            <a:ext uri="{FF2B5EF4-FFF2-40B4-BE49-F238E27FC236}">
              <a16:creationId xmlns="" xmlns:a16="http://schemas.microsoft.com/office/drawing/2014/main" id="{00000000-0008-0000-0000-00000B000000}"/>
            </a:ext>
          </a:extLst>
        </xdr:cNvPr>
        <xdr:cNvSpPr/>
      </xdr:nvSpPr>
      <xdr:spPr>
        <a:xfrm>
          <a:off x="8343900" y="2162174"/>
          <a:ext cx="2428875" cy="466726"/>
        </a:xfrm>
        <a:prstGeom prst="rect">
          <a:avLst/>
        </a:prstGeom>
        <a:solidFill>
          <a:srgbClr val="FF99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17E8AD8-1E64-4170-8367-891ACF9F24C8}" type="TxLink">
            <a:rPr lang="en-US" sz="16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0</a:t>
          </a:fld>
          <a:endParaRPr lang="pt-BR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428625</xdr:colOff>
      <xdr:row>14</xdr:row>
      <xdr:rowOff>47624</xdr:rowOff>
    </xdr:from>
    <xdr:to>
      <xdr:col>17</xdr:col>
      <xdr:colOff>419100</xdr:colOff>
      <xdr:row>16</xdr:row>
      <xdr:rowOff>133350</xdr:rowOff>
    </xdr:to>
    <xdr:sp macro="" textlink="">
      <xdr:nvSpPr>
        <xdr:cNvPr id="12" name="Retângulo 11">
          <a:extLst>
            <a:ext uri="{FF2B5EF4-FFF2-40B4-BE49-F238E27FC236}">
              <a16:creationId xmlns="" xmlns:a16="http://schemas.microsoft.com/office/drawing/2014/main" id="{00000000-0008-0000-0000-00000C000000}"/>
            </a:ext>
          </a:extLst>
        </xdr:cNvPr>
        <xdr:cNvSpPr/>
      </xdr:nvSpPr>
      <xdr:spPr>
        <a:xfrm>
          <a:off x="8353425" y="2714624"/>
          <a:ext cx="2428875" cy="466726"/>
        </a:xfrm>
        <a:prstGeom prst="rect">
          <a:avLst/>
        </a:prstGeom>
        <a:solidFill>
          <a:srgbClr val="FF66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0"/>
            <a:t>VALOR</a:t>
          </a:r>
          <a:r>
            <a:rPr lang="pt-BR" sz="1400" b="0" baseline="0"/>
            <a:t> R$</a:t>
          </a:r>
          <a:endParaRPr lang="pt-BR" sz="1400" b="0"/>
        </a:p>
      </xdr:txBody>
    </xdr:sp>
    <xdr:clientData/>
  </xdr:twoCellAnchor>
  <xdr:twoCellAnchor>
    <xdr:from>
      <xdr:col>13</xdr:col>
      <xdr:colOff>438150</xdr:colOff>
      <xdr:row>17</xdr:row>
      <xdr:rowOff>38099</xdr:rowOff>
    </xdr:from>
    <xdr:to>
      <xdr:col>17</xdr:col>
      <xdr:colOff>428625</xdr:colOff>
      <xdr:row>19</xdr:row>
      <xdr:rowOff>123825</xdr:rowOff>
    </xdr:to>
    <xdr:sp macro="" textlink="calculos!E2">
      <xdr:nvSpPr>
        <xdr:cNvPr id="13" name="Retângulo 12">
          <a:extLst>
            <a:ext uri="{FF2B5EF4-FFF2-40B4-BE49-F238E27FC236}">
              <a16:creationId xmlns="" xmlns:a16="http://schemas.microsoft.com/office/drawing/2014/main" id="{00000000-0008-0000-0000-00000D000000}"/>
            </a:ext>
          </a:extLst>
        </xdr:cNvPr>
        <xdr:cNvSpPr/>
      </xdr:nvSpPr>
      <xdr:spPr>
        <a:xfrm>
          <a:off x="8362950" y="3276599"/>
          <a:ext cx="2428875" cy="466726"/>
        </a:xfrm>
        <a:prstGeom prst="rect">
          <a:avLst/>
        </a:prstGeom>
        <a:solidFill>
          <a:srgbClr val="FF99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5E8BB5D-3382-4478-8782-A7141A315347}" type="TxLink">
            <a:rPr lang="en-US" sz="16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R$-   </a:t>
          </a:fld>
          <a:endParaRPr lang="pt-BR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342900</xdr:colOff>
      <xdr:row>6</xdr:row>
      <xdr:rowOff>171449</xdr:rowOff>
    </xdr:from>
    <xdr:to>
      <xdr:col>4</xdr:col>
      <xdr:colOff>333375</xdr:colOff>
      <xdr:row>10</xdr:row>
      <xdr:rowOff>129449</xdr:rowOff>
    </xdr:to>
    <xdr:sp macro="" textlink="">
      <xdr:nvSpPr>
        <xdr:cNvPr id="14" name="Retângulo 13">
          <a:extLst>
            <a:ext uri="{FF2B5EF4-FFF2-40B4-BE49-F238E27FC236}">
              <a16:creationId xmlns="" xmlns:a16="http://schemas.microsoft.com/office/drawing/2014/main" id="{00000000-0008-0000-0000-00000E000000}"/>
            </a:ext>
          </a:extLst>
        </xdr:cNvPr>
        <xdr:cNvSpPr/>
      </xdr:nvSpPr>
      <xdr:spPr>
        <a:xfrm>
          <a:off x="342900" y="1314449"/>
          <a:ext cx="2428875" cy="720000"/>
        </a:xfrm>
        <a:prstGeom prst="rect">
          <a:avLst/>
        </a:prstGeom>
        <a:solidFill>
          <a:schemeClr val="accent5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400" b="0"/>
            <a:t>TOTAL DE CLIENTES CADASTRADOS</a:t>
          </a:r>
        </a:p>
      </xdr:txBody>
    </xdr:sp>
    <xdr:clientData/>
  </xdr:twoCellAnchor>
  <xdr:twoCellAnchor>
    <xdr:from>
      <xdr:col>0</xdr:col>
      <xdr:colOff>333375</xdr:colOff>
      <xdr:row>11</xdr:row>
      <xdr:rowOff>47624</xdr:rowOff>
    </xdr:from>
    <xdr:to>
      <xdr:col>4</xdr:col>
      <xdr:colOff>323850</xdr:colOff>
      <xdr:row>13</xdr:row>
      <xdr:rowOff>133350</xdr:rowOff>
    </xdr:to>
    <xdr:sp macro="" textlink="calculos!B4">
      <xdr:nvSpPr>
        <xdr:cNvPr id="15" name="Retângulo 14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SpPr/>
      </xdr:nvSpPr>
      <xdr:spPr>
        <a:xfrm>
          <a:off x="333375" y="2143124"/>
          <a:ext cx="2428875" cy="466726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A61D7EC-5050-4FE9-AE05-58524AA5769D}" type="TxLink">
            <a:rPr lang="en-US" sz="16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0</a:t>
          </a:fld>
          <a:endParaRPr lang="pt-BR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342900</xdr:colOff>
      <xdr:row>14</xdr:row>
      <xdr:rowOff>28574</xdr:rowOff>
    </xdr:from>
    <xdr:to>
      <xdr:col>4</xdr:col>
      <xdr:colOff>333375</xdr:colOff>
      <xdr:row>16</xdr:row>
      <xdr:rowOff>114300</xdr:rowOff>
    </xdr:to>
    <xdr:sp macro="" textlink="">
      <xdr:nvSpPr>
        <xdr:cNvPr id="16" name="Retângulo 15"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SpPr/>
      </xdr:nvSpPr>
      <xdr:spPr>
        <a:xfrm>
          <a:off x="342900" y="2695574"/>
          <a:ext cx="2428875" cy="466726"/>
        </a:xfrm>
        <a:prstGeom prst="rect">
          <a:avLst/>
        </a:prstGeom>
        <a:solidFill>
          <a:schemeClr val="accent5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0"/>
            <a:t>VALOR</a:t>
          </a:r>
          <a:r>
            <a:rPr lang="pt-BR" sz="1400" b="0" baseline="0"/>
            <a:t> TOTAL A RECEBER</a:t>
          </a:r>
          <a:endParaRPr lang="pt-BR" sz="1400" b="0"/>
        </a:p>
      </xdr:txBody>
    </xdr:sp>
    <xdr:clientData/>
  </xdr:twoCellAnchor>
  <xdr:twoCellAnchor>
    <xdr:from>
      <xdr:col>0</xdr:col>
      <xdr:colOff>352425</xdr:colOff>
      <xdr:row>17</xdr:row>
      <xdr:rowOff>19049</xdr:rowOff>
    </xdr:from>
    <xdr:to>
      <xdr:col>4</xdr:col>
      <xdr:colOff>342900</xdr:colOff>
      <xdr:row>19</xdr:row>
      <xdr:rowOff>104775</xdr:rowOff>
    </xdr:to>
    <xdr:sp macro="" textlink="calculos!E4">
      <xdr:nvSpPr>
        <xdr:cNvPr id="17" name="Retângulo 16">
          <a:extLst>
            <a:ext uri="{FF2B5EF4-FFF2-40B4-BE49-F238E27FC236}">
              <a16:creationId xmlns="" xmlns:a16="http://schemas.microsoft.com/office/drawing/2014/main" id="{00000000-0008-0000-0000-000011000000}"/>
            </a:ext>
          </a:extLst>
        </xdr:cNvPr>
        <xdr:cNvSpPr/>
      </xdr:nvSpPr>
      <xdr:spPr>
        <a:xfrm>
          <a:off x="352425" y="3257549"/>
          <a:ext cx="2428875" cy="466726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85ABD1F-D5FF-4869-8757-8D1E8B183674}" type="TxLink">
            <a:rPr lang="en-US" sz="16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R$-   </a:t>
          </a:fld>
          <a:endParaRPr lang="pt-BR" sz="16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3</xdr:col>
      <xdr:colOff>219075</xdr:colOff>
      <xdr:row>7</xdr:row>
      <xdr:rowOff>95250</xdr:rowOff>
    </xdr:from>
    <xdr:to>
      <xdr:col>4</xdr:col>
      <xdr:colOff>149475</xdr:colOff>
      <xdr:row>10</xdr:row>
      <xdr:rowOff>63750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47875" y="1428750"/>
          <a:ext cx="540000" cy="540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7</xdr:col>
      <xdr:colOff>561975</xdr:colOff>
      <xdr:row>7</xdr:row>
      <xdr:rowOff>123825</xdr:rowOff>
    </xdr:from>
    <xdr:to>
      <xdr:col>8</xdr:col>
      <xdr:colOff>384375</xdr:colOff>
      <xdr:row>9</xdr:row>
      <xdr:rowOff>174825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9175" y="1457325"/>
          <a:ext cx="432000" cy="432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12</xdr:col>
      <xdr:colOff>190500</xdr:colOff>
      <xdr:row>7</xdr:row>
      <xdr:rowOff>152400</xdr:rowOff>
    </xdr:from>
    <xdr:to>
      <xdr:col>13</xdr:col>
      <xdr:colOff>12900</xdr:colOff>
      <xdr:row>10</xdr:row>
      <xdr:rowOff>12900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1485900"/>
          <a:ext cx="432000" cy="432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16</xdr:col>
      <xdr:colOff>409575</xdr:colOff>
      <xdr:row>7</xdr:row>
      <xdr:rowOff>152400</xdr:rowOff>
    </xdr:from>
    <xdr:to>
      <xdr:col>17</xdr:col>
      <xdr:colOff>231975</xdr:colOff>
      <xdr:row>10</xdr:row>
      <xdr:rowOff>12900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3175" y="1485900"/>
          <a:ext cx="432000" cy="432000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0</xdr:col>
      <xdr:colOff>133350</xdr:colOff>
      <xdr:row>1</xdr:row>
      <xdr:rowOff>9526</xdr:rowOff>
    </xdr:from>
    <xdr:to>
      <xdr:col>18</xdr:col>
      <xdr:colOff>39750</xdr:colOff>
      <xdr:row>4</xdr:row>
      <xdr:rowOff>0</xdr:rowOff>
    </xdr:to>
    <xdr:sp macro="" textlink="">
      <xdr:nvSpPr>
        <xdr:cNvPr id="23" name="Retângulo 22">
          <a:extLst>
            <a:ext uri="{FF2B5EF4-FFF2-40B4-BE49-F238E27FC236}">
              <a16:creationId xmlns="" xmlns:a16="http://schemas.microsoft.com/office/drawing/2014/main" id="{00000000-0008-0000-0000-000017000000}"/>
            </a:ext>
          </a:extLst>
        </xdr:cNvPr>
        <xdr:cNvSpPr/>
      </xdr:nvSpPr>
      <xdr:spPr>
        <a:xfrm>
          <a:off x="133350" y="200026"/>
          <a:ext cx="10879200" cy="561974"/>
        </a:xfrm>
        <a:prstGeom prst="rect">
          <a:avLst/>
        </a:prstGeom>
        <a:gradFill flip="none" rotWithShape="1">
          <a:gsLst>
            <a:gs pos="0">
              <a:schemeClr val="bg1">
                <a:lumMod val="50000"/>
                <a:shade val="30000"/>
                <a:satMod val="115000"/>
              </a:schemeClr>
            </a:gs>
            <a:gs pos="50000">
              <a:schemeClr val="bg1">
                <a:lumMod val="50000"/>
                <a:shade val="67500"/>
                <a:satMod val="115000"/>
              </a:schemeClr>
            </a:gs>
            <a:gs pos="100000">
              <a:schemeClr val="bg1">
                <a:lumMod val="50000"/>
                <a:shade val="100000"/>
                <a:satMod val="115000"/>
              </a:schemeClr>
            </a:gs>
          </a:gsLst>
          <a:lin ang="27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2000"/>
            <a:t>  PAINEL DE CLIENTES - CONTAS A RECEBER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</xdr:colOff>
      <xdr:row>0</xdr:row>
      <xdr:rowOff>85724</xdr:rowOff>
    </xdr:from>
    <xdr:to>
      <xdr:col>11</xdr:col>
      <xdr:colOff>66675</xdr:colOff>
      <xdr:row>3</xdr:row>
      <xdr:rowOff>114749</xdr:rowOff>
    </xdr:to>
    <xdr:sp macro="" textlink="">
      <xdr:nvSpPr>
        <xdr:cNvPr id="2" name="Retângulo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114301" y="85724"/>
          <a:ext cx="9382124" cy="972000"/>
        </a:xfrm>
        <a:prstGeom prst="rect">
          <a:avLst/>
        </a:prstGeom>
        <a:solidFill>
          <a:schemeClr val="tx2">
            <a:lumMod val="7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600"/>
            <a:t>  CONTROLE DE CLIENTES</a:t>
          </a:r>
        </a:p>
      </xdr:txBody>
    </xdr:sp>
    <xdr:clientData/>
  </xdr:twoCellAnchor>
  <xdr:twoCellAnchor editAs="absolute">
    <xdr:from>
      <xdr:col>1</xdr:col>
      <xdr:colOff>161925</xdr:colOff>
      <xdr:row>1</xdr:row>
      <xdr:rowOff>276224</xdr:rowOff>
    </xdr:from>
    <xdr:to>
      <xdr:col>2</xdr:col>
      <xdr:colOff>387075</xdr:colOff>
      <xdr:row>2</xdr:row>
      <xdr:rowOff>285899</xdr:rowOff>
    </xdr:to>
    <xdr:sp macro="[0]!AbrirCadastroCliente" textlink="">
      <xdr:nvSpPr>
        <xdr:cNvPr id="3" name="Retângulo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276225" y="590549"/>
          <a:ext cx="1692000" cy="32400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CADASTRAR</a:t>
          </a:r>
        </a:p>
      </xdr:txBody>
    </xdr:sp>
    <xdr:clientData/>
  </xdr:twoCellAnchor>
  <xdr:twoCellAnchor editAs="absolute">
    <xdr:from>
      <xdr:col>2</xdr:col>
      <xdr:colOff>457200</xdr:colOff>
      <xdr:row>1</xdr:row>
      <xdr:rowOff>276224</xdr:rowOff>
    </xdr:from>
    <xdr:to>
      <xdr:col>3</xdr:col>
      <xdr:colOff>1206225</xdr:colOff>
      <xdr:row>2</xdr:row>
      <xdr:rowOff>285899</xdr:rowOff>
    </xdr:to>
    <xdr:sp macro="[0]!AbrirAlterarCliente" textlink="">
      <xdr:nvSpPr>
        <xdr:cNvPr id="4" name="Retângulo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SpPr/>
      </xdr:nvSpPr>
      <xdr:spPr>
        <a:xfrm>
          <a:off x="2038350" y="590549"/>
          <a:ext cx="1692000" cy="32400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ALTERAR</a:t>
          </a:r>
        </a:p>
      </xdr:txBody>
    </xdr:sp>
    <xdr:clientData/>
  </xdr:twoCellAnchor>
  <xdr:twoCellAnchor editAs="absolute">
    <xdr:from>
      <xdr:col>3</xdr:col>
      <xdr:colOff>1276350</xdr:colOff>
      <xdr:row>1</xdr:row>
      <xdr:rowOff>276225</xdr:rowOff>
    </xdr:from>
    <xdr:to>
      <xdr:col>5</xdr:col>
      <xdr:colOff>358500</xdr:colOff>
      <xdr:row>2</xdr:row>
      <xdr:rowOff>285900</xdr:rowOff>
    </xdr:to>
    <xdr:sp macro="[0]!ApagarCadastroCliente" textlink="">
      <xdr:nvSpPr>
        <xdr:cNvPr id="5" name="Retângulo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SpPr/>
      </xdr:nvSpPr>
      <xdr:spPr>
        <a:xfrm>
          <a:off x="3800475" y="590550"/>
          <a:ext cx="1692000" cy="32400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 editAs="absolute">
    <xdr:from>
      <xdr:col>5</xdr:col>
      <xdr:colOff>428625</xdr:colOff>
      <xdr:row>1</xdr:row>
      <xdr:rowOff>276225</xdr:rowOff>
    </xdr:from>
    <xdr:to>
      <xdr:col>7</xdr:col>
      <xdr:colOff>657225</xdr:colOff>
      <xdr:row>2</xdr:row>
      <xdr:rowOff>285900</xdr:rowOff>
    </xdr:to>
    <xdr:sp macro="[0]!ApagarBaseClientes" textlink="">
      <xdr:nvSpPr>
        <xdr:cNvPr id="6" name="Retângulo 5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/>
      </xdr:nvSpPr>
      <xdr:spPr>
        <a:xfrm>
          <a:off x="5562600" y="590550"/>
          <a:ext cx="2000250" cy="32400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EXCLUIR TODOS CADASTROS</a:t>
          </a:r>
        </a:p>
      </xdr:txBody>
    </xdr:sp>
    <xdr:clientData/>
  </xdr:twoCellAnchor>
  <xdr:twoCellAnchor editAs="absolute">
    <xdr:from>
      <xdr:col>8</xdr:col>
      <xdr:colOff>38100</xdr:colOff>
      <xdr:row>1</xdr:row>
      <xdr:rowOff>276225</xdr:rowOff>
    </xdr:from>
    <xdr:to>
      <xdr:col>10</xdr:col>
      <xdr:colOff>510900</xdr:colOff>
      <xdr:row>2</xdr:row>
      <xdr:rowOff>285900</xdr:rowOff>
    </xdr:to>
    <xdr:sp macro="[0]!ReceberContaCliente" textlink="">
      <xdr:nvSpPr>
        <xdr:cNvPr id="7" name="Retângulo 6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SpPr/>
      </xdr:nvSpPr>
      <xdr:spPr>
        <a:xfrm>
          <a:off x="7639050" y="590550"/>
          <a:ext cx="1692000" cy="32400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DAR BAIXA EM CONTA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</xdr:colOff>
      <xdr:row>0</xdr:row>
      <xdr:rowOff>85725</xdr:rowOff>
    </xdr:from>
    <xdr:to>
      <xdr:col>10</xdr:col>
      <xdr:colOff>104251</xdr:colOff>
      <xdr:row>3</xdr:row>
      <xdr:rowOff>114750</xdr:rowOff>
    </xdr:to>
    <xdr:sp macro="" textlink="">
      <xdr:nvSpPr>
        <xdr:cNvPr id="2" name="Retângulo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/>
      </xdr:nvSpPr>
      <xdr:spPr>
        <a:xfrm>
          <a:off x="114301" y="85725"/>
          <a:ext cx="9381600" cy="972000"/>
        </a:xfrm>
        <a:prstGeom prst="rect">
          <a:avLst/>
        </a:prstGeom>
        <a:solidFill>
          <a:schemeClr val="tx2">
            <a:lumMod val="7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600"/>
            <a:t>  CONTROLE DE CONTAS</a:t>
          </a:r>
          <a:r>
            <a:rPr lang="pt-BR" sz="1600" baseline="0"/>
            <a:t> RECEBIDAS</a:t>
          </a:r>
          <a:endParaRPr lang="pt-BR" sz="1600"/>
        </a:p>
      </xdr:txBody>
    </xdr:sp>
    <xdr:clientData/>
  </xdr:twoCellAnchor>
  <xdr:twoCellAnchor editAs="absolute">
    <xdr:from>
      <xdr:col>1</xdr:col>
      <xdr:colOff>161925</xdr:colOff>
      <xdr:row>1</xdr:row>
      <xdr:rowOff>276225</xdr:rowOff>
    </xdr:from>
    <xdr:to>
      <xdr:col>2</xdr:col>
      <xdr:colOff>387075</xdr:colOff>
      <xdr:row>2</xdr:row>
      <xdr:rowOff>285900</xdr:rowOff>
    </xdr:to>
    <xdr:sp macro="[0]!AbrirAlterarContaRecebida" textlink="">
      <xdr:nvSpPr>
        <xdr:cNvPr id="4" name="Retângulo 3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>
        <a:xfrm>
          <a:off x="276225" y="590550"/>
          <a:ext cx="1692000" cy="32400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ALTERAR</a:t>
          </a:r>
        </a:p>
      </xdr:txBody>
    </xdr:sp>
    <xdr:clientData/>
  </xdr:twoCellAnchor>
  <xdr:twoCellAnchor editAs="absolute">
    <xdr:from>
      <xdr:col>2</xdr:col>
      <xdr:colOff>466725</xdr:colOff>
      <xdr:row>1</xdr:row>
      <xdr:rowOff>276226</xdr:rowOff>
    </xdr:from>
    <xdr:to>
      <xdr:col>3</xdr:col>
      <xdr:colOff>1215750</xdr:colOff>
      <xdr:row>2</xdr:row>
      <xdr:rowOff>285901</xdr:rowOff>
    </xdr:to>
    <xdr:sp macro="[0]!ApagarContaRecebida" textlink="">
      <xdr:nvSpPr>
        <xdr:cNvPr id="5" name="Retângulo 4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>
        <a:xfrm>
          <a:off x="2047875" y="590551"/>
          <a:ext cx="1692000" cy="32400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 editAs="absolute">
    <xdr:from>
      <xdr:col>3</xdr:col>
      <xdr:colOff>1295400</xdr:colOff>
      <xdr:row>1</xdr:row>
      <xdr:rowOff>276226</xdr:rowOff>
    </xdr:from>
    <xdr:to>
      <xdr:col>6</xdr:col>
      <xdr:colOff>19050</xdr:colOff>
      <xdr:row>2</xdr:row>
      <xdr:rowOff>285901</xdr:rowOff>
    </xdr:to>
    <xdr:sp macro="[0]!ApagarBaseContasR" textlink="">
      <xdr:nvSpPr>
        <xdr:cNvPr id="6" name="Retângulo 5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>
        <a:xfrm>
          <a:off x="3819525" y="590551"/>
          <a:ext cx="2000250" cy="32400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EXCLUIR TODAS</a:t>
          </a:r>
          <a:r>
            <a:rPr lang="pt-BR" sz="1100" baseline="0">
              <a:solidFill>
                <a:sysClr val="windowText" lastClr="000000"/>
              </a:solidFill>
            </a:rPr>
            <a:t> CONTAS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85725</xdr:rowOff>
    </xdr:from>
    <xdr:to>
      <xdr:col>7</xdr:col>
      <xdr:colOff>323850</xdr:colOff>
      <xdr:row>1</xdr:row>
      <xdr:rowOff>190500</xdr:rowOff>
    </xdr:to>
    <xdr:sp macro="" textlink="">
      <xdr:nvSpPr>
        <xdr:cNvPr id="2" name="Retângulo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SpPr/>
      </xdr:nvSpPr>
      <xdr:spPr>
        <a:xfrm>
          <a:off x="114300" y="85725"/>
          <a:ext cx="5591175" cy="4191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400" b="0"/>
            <a:t>RELATÓRIO</a:t>
          </a:r>
          <a:r>
            <a:rPr lang="pt-BR" sz="1400" b="0" baseline="0"/>
            <a:t> CONTAS RECEBIDAS - MÊS / ANO</a:t>
          </a:r>
          <a:endParaRPr lang="pt-BR" sz="1400" b="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85725</xdr:rowOff>
    </xdr:from>
    <xdr:to>
      <xdr:col>12</xdr:col>
      <xdr:colOff>400049</xdr:colOff>
      <xdr:row>3</xdr:row>
      <xdr:rowOff>114750</xdr:rowOff>
    </xdr:to>
    <xdr:sp macro="" textlink="">
      <xdr:nvSpPr>
        <xdr:cNvPr id="2" name="Retângulo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SpPr/>
      </xdr:nvSpPr>
      <xdr:spPr>
        <a:xfrm>
          <a:off x="114300" y="85725"/>
          <a:ext cx="9382124" cy="972000"/>
        </a:xfrm>
        <a:prstGeom prst="rect">
          <a:avLst/>
        </a:prstGeom>
        <a:solidFill>
          <a:schemeClr val="tx2">
            <a:lumMod val="7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600"/>
            <a:t>  CONTROLE DE VENDAS</a:t>
          </a:r>
        </a:p>
      </xdr:txBody>
    </xdr:sp>
    <xdr:clientData/>
  </xdr:twoCellAnchor>
  <xdr:twoCellAnchor editAs="absolute">
    <xdr:from>
      <xdr:col>1</xdr:col>
      <xdr:colOff>161924</xdr:colOff>
      <xdr:row>1</xdr:row>
      <xdr:rowOff>276225</xdr:rowOff>
    </xdr:from>
    <xdr:to>
      <xdr:col>2</xdr:col>
      <xdr:colOff>539474</xdr:colOff>
      <xdr:row>2</xdr:row>
      <xdr:rowOff>285900</xdr:rowOff>
    </xdr:to>
    <xdr:sp macro="[0]!AbrirFormVendas" textlink="">
      <xdr:nvSpPr>
        <xdr:cNvPr id="3" name="Retângulo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/>
      </xdr:nvSpPr>
      <xdr:spPr>
        <a:xfrm>
          <a:off x="276224" y="590550"/>
          <a:ext cx="1692000" cy="32400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CADASTRAR</a:t>
          </a:r>
        </a:p>
      </xdr:txBody>
    </xdr:sp>
    <xdr:clientData/>
  </xdr:twoCellAnchor>
  <xdr:twoCellAnchor editAs="absolute">
    <xdr:from>
      <xdr:col>2</xdr:col>
      <xdr:colOff>609599</xdr:colOff>
      <xdr:row>1</xdr:row>
      <xdr:rowOff>276225</xdr:rowOff>
    </xdr:from>
    <xdr:to>
      <xdr:col>4</xdr:col>
      <xdr:colOff>101324</xdr:colOff>
      <xdr:row>2</xdr:row>
      <xdr:rowOff>285900</xdr:rowOff>
    </xdr:to>
    <xdr:sp macro="[0]!AbrirAlterarVenda" textlink="">
      <xdr:nvSpPr>
        <xdr:cNvPr id="4" name="Retângulo 3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SpPr/>
      </xdr:nvSpPr>
      <xdr:spPr>
        <a:xfrm>
          <a:off x="2038349" y="590550"/>
          <a:ext cx="1692000" cy="32400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ALTERAR</a:t>
          </a:r>
        </a:p>
      </xdr:txBody>
    </xdr:sp>
    <xdr:clientData/>
  </xdr:twoCellAnchor>
  <xdr:twoCellAnchor editAs="absolute">
    <xdr:from>
      <xdr:col>4</xdr:col>
      <xdr:colOff>171449</xdr:colOff>
      <xdr:row>1</xdr:row>
      <xdr:rowOff>276226</xdr:rowOff>
    </xdr:from>
    <xdr:to>
      <xdr:col>6</xdr:col>
      <xdr:colOff>53699</xdr:colOff>
      <xdr:row>2</xdr:row>
      <xdr:rowOff>285901</xdr:rowOff>
    </xdr:to>
    <xdr:sp macro="[0]!ApagarCadastroVenda" textlink="">
      <xdr:nvSpPr>
        <xdr:cNvPr id="5" name="Retângulo 4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SpPr/>
      </xdr:nvSpPr>
      <xdr:spPr>
        <a:xfrm>
          <a:off x="3800474" y="590551"/>
          <a:ext cx="1692000" cy="32400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 editAs="absolute">
    <xdr:from>
      <xdr:col>6</xdr:col>
      <xdr:colOff>123824</xdr:colOff>
      <xdr:row>1</xdr:row>
      <xdr:rowOff>276226</xdr:rowOff>
    </xdr:from>
    <xdr:to>
      <xdr:col>9</xdr:col>
      <xdr:colOff>295274</xdr:colOff>
      <xdr:row>2</xdr:row>
      <xdr:rowOff>285901</xdr:rowOff>
    </xdr:to>
    <xdr:sp macro="[0]!ApagarBaseVendas" textlink="">
      <xdr:nvSpPr>
        <xdr:cNvPr id="6" name="Retângulo 5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SpPr/>
      </xdr:nvSpPr>
      <xdr:spPr>
        <a:xfrm>
          <a:off x="5562599" y="590551"/>
          <a:ext cx="2000250" cy="32400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EXCLUIR TODOS CADASTROS</a:t>
          </a:r>
        </a:p>
      </xdr:txBody>
    </xdr:sp>
    <xdr:clientData/>
  </xdr:twoCellAnchor>
  <xdr:twoCellAnchor editAs="absolute">
    <xdr:from>
      <xdr:col>9</xdr:col>
      <xdr:colOff>371474</xdr:colOff>
      <xdr:row>1</xdr:row>
      <xdr:rowOff>276226</xdr:rowOff>
    </xdr:from>
    <xdr:to>
      <xdr:col>12</xdr:col>
      <xdr:colOff>234674</xdr:colOff>
      <xdr:row>2</xdr:row>
      <xdr:rowOff>285901</xdr:rowOff>
    </xdr:to>
    <xdr:sp macro="[0]!ReceberContaVenda" textlink="">
      <xdr:nvSpPr>
        <xdr:cNvPr id="7" name="Retângulo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SpPr/>
      </xdr:nvSpPr>
      <xdr:spPr>
        <a:xfrm>
          <a:off x="7639049" y="590551"/>
          <a:ext cx="1692000" cy="32400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DAR BAIXA EM CONTA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0</xdr:row>
      <xdr:rowOff>85725</xdr:rowOff>
    </xdr:from>
    <xdr:to>
      <xdr:col>12</xdr:col>
      <xdr:colOff>485250</xdr:colOff>
      <xdr:row>3</xdr:row>
      <xdr:rowOff>114750</xdr:rowOff>
    </xdr:to>
    <xdr:sp macro="" textlink="">
      <xdr:nvSpPr>
        <xdr:cNvPr id="2" name="Retângulo 1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SpPr/>
      </xdr:nvSpPr>
      <xdr:spPr>
        <a:xfrm>
          <a:off x="123825" y="85725"/>
          <a:ext cx="9381600" cy="972000"/>
        </a:xfrm>
        <a:prstGeom prst="rect">
          <a:avLst/>
        </a:prstGeom>
        <a:solidFill>
          <a:schemeClr val="tx2">
            <a:lumMod val="7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600"/>
            <a:t>  CONTROLE DE VENDAS</a:t>
          </a:r>
          <a:r>
            <a:rPr lang="pt-BR" sz="1600" baseline="0"/>
            <a:t> RECEBIDAS</a:t>
          </a:r>
          <a:endParaRPr lang="pt-BR" sz="1600"/>
        </a:p>
      </xdr:txBody>
    </xdr:sp>
    <xdr:clientData/>
  </xdr:twoCellAnchor>
  <xdr:twoCellAnchor editAs="absolute">
    <xdr:from>
      <xdr:col>1</xdr:col>
      <xdr:colOff>171449</xdr:colOff>
      <xdr:row>1</xdr:row>
      <xdr:rowOff>276225</xdr:rowOff>
    </xdr:from>
    <xdr:to>
      <xdr:col>2</xdr:col>
      <xdr:colOff>548999</xdr:colOff>
      <xdr:row>2</xdr:row>
      <xdr:rowOff>285900</xdr:rowOff>
    </xdr:to>
    <xdr:sp macro="[0]!AbrirAlterarVendaRCB" textlink="">
      <xdr:nvSpPr>
        <xdr:cNvPr id="3" name="Retângulo 2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SpPr/>
      </xdr:nvSpPr>
      <xdr:spPr>
        <a:xfrm>
          <a:off x="285749" y="590550"/>
          <a:ext cx="1692000" cy="32400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ALTERAR</a:t>
          </a:r>
        </a:p>
      </xdr:txBody>
    </xdr:sp>
    <xdr:clientData/>
  </xdr:twoCellAnchor>
  <xdr:twoCellAnchor editAs="absolute">
    <xdr:from>
      <xdr:col>2</xdr:col>
      <xdr:colOff>628649</xdr:colOff>
      <xdr:row>1</xdr:row>
      <xdr:rowOff>276226</xdr:rowOff>
    </xdr:from>
    <xdr:to>
      <xdr:col>4</xdr:col>
      <xdr:colOff>139424</xdr:colOff>
      <xdr:row>2</xdr:row>
      <xdr:rowOff>285901</xdr:rowOff>
    </xdr:to>
    <xdr:sp macro="[0]!ApagarVendaRecebida" textlink="">
      <xdr:nvSpPr>
        <xdr:cNvPr id="4" name="Retângulo 3"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SpPr/>
      </xdr:nvSpPr>
      <xdr:spPr>
        <a:xfrm>
          <a:off x="2057399" y="590551"/>
          <a:ext cx="1692000" cy="32400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 editAs="absolute">
    <xdr:from>
      <xdr:col>4</xdr:col>
      <xdr:colOff>219074</xdr:colOff>
      <xdr:row>1</xdr:row>
      <xdr:rowOff>276226</xdr:rowOff>
    </xdr:from>
    <xdr:to>
      <xdr:col>6</xdr:col>
      <xdr:colOff>438149</xdr:colOff>
      <xdr:row>2</xdr:row>
      <xdr:rowOff>285901</xdr:rowOff>
    </xdr:to>
    <xdr:sp macro="[0]!ApagarBaseVendaR" textlink="">
      <xdr:nvSpPr>
        <xdr:cNvPr id="5" name="Retângulo 4"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SpPr/>
      </xdr:nvSpPr>
      <xdr:spPr>
        <a:xfrm>
          <a:off x="3829049" y="590551"/>
          <a:ext cx="2000250" cy="32400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EXCLUIR TODAS</a:t>
          </a:r>
          <a:r>
            <a:rPr lang="pt-BR" sz="1100" baseline="0">
              <a:solidFill>
                <a:sysClr val="windowText" lastClr="000000"/>
              </a:solidFill>
            </a:rPr>
            <a:t> CONTAS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85725</xdr:rowOff>
    </xdr:from>
    <xdr:to>
      <xdr:col>7</xdr:col>
      <xdr:colOff>257175</xdr:colOff>
      <xdr:row>1</xdr:row>
      <xdr:rowOff>190500</xdr:rowOff>
    </xdr:to>
    <xdr:sp macro="" textlink="">
      <xdr:nvSpPr>
        <xdr:cNvPr id="2" name="Retângulo 1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SpPr/>
      </xdr:nvSpPr>
      <xdr:spPr>
        <a:xfrm>
          <a:off x="123825" y="85725"/>
          <a:ext cx="5591175" cy="4191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400" b="0"/>
            <a:t>RELATÓRIO</a:t>
          </a:r>
          <a:r>
            <a:rPr lang="pt-BR" sz="1400" b="0" baseline="0"/>
            <a:t> VENDAS RECEBIDAS - MÊS / ANO</a:t>
          </a:r>
          <a:endParaRPr lang="pt-BR" sz="1400" b="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min" refreshedDate="44119.689427777776" createdVersion="5" refreshedVersion="6" minRefreshableVersion="3" recordCount="1">
  <cacheSource type="worksheet">
    <worksheetSource name="Tbl_Venda_Recb"/>
  </cacheSource>
  <cacheFields count="7">
    <cacheField name="NOME DO CLIENTE" numFmtId="0">
      <sharedItems containsNonDate="0" containsBlank="1" count="5">
        <m/>
        <s v="VBA" u="1"/>
        <s v="SerafIM" u="1"/>
        <s v="SAAS as service" u="1"/>
        <s v="python JAS" u="1"/>
      </sharedItems>
    </cacheField>
    <cacheField name="VALOR R$" numFmtId="164">
      <sharedItems containsNonDate="0" containsString="0" containsBlank="1"/>
    </cacheField>
    <cacheField name="DATA VENCIMENTO" numFmtId="14">
      <sharedItems containsNonDate="0" containsString="0" containsBlank="1"/>
    </cacheField>
    <cacheField name="DESCRIÇÃO" numFmtId="0">
      <sharedItems containsNonDate="0" containsString="0" containsBlank="1"/>
    </cacheField>
    <cacheField name="DATA PGTO" numFmtId="14">
      <sharedItems containsNonDate="0" containsString="0" containsBlank="1"/>
    </cacheField>
    <cacheField name="MÊS" numFmtId="0">
      <sharedItems containsNonDate="0" containsBlank="1" count="5">
        <m/>
        <s v="Agosto" u="1"/>
        <s v="Outubro" u="1"/>
        <s v="Setembro" u="1"/>
        <s v="Novembro" u="1"/>
      </sharedItems>
    </cacheField>
    <cacheField name="ANO" numFmtId="0">
      <sharedItems containsNonDate="0" containsString="0" containsBlank="1" containsNumber="1" containsInteger="1" minValue="2020" maxValue="2020" count="2">
        <m/>
        <n v="202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Gustavo" refreshedDate="44122.782600115737" missingItemsLimit="0" createdVersion="5" refreshedVersion="5" minRefreshableVersion="3" recordCount="1">
  <cacheSource type="worksheet">
    <worksheetSource name="Tbl_C_Recebidas"/>
  </cacheSource>
  <cacheFields count="8">
    <cacheField name="NOME DO CLIENTE" numFmtId="0">
      <sharedItems containsNonDate="0" containsString="0" containsBlank="1" count="1">
        <m/>
      </sharedItems>
    </cacheField>
    <cacheField name="VALOR R$" numFmtId="164">
      <sharedItems containsNonDate="0" containsString="0" containsBlank="1"/>
    </cacheField>
    <cacheField name="DATA VENCIMENTO" numFmtId="14">
      <sharedItems containsNonDate="0" containsString="0" containsBlank="1"/>
    </cacheField>
    <cacheField name="PRODUTO" numFmtId="0">
      <sharedItems containsNonDate="0" containsString="0" containsBlank="1"/>
    </cacheField>
    <cacheField name="PLANO" numFmtId="0">
      <sharedItems containsNonDate="0" containsString="0" containsBlank="1"/>
    </cacheField>
    <cacheField name="DATA PGTO" numFmtId="14">
      <sharedItems containsNonDate="0" containsString="0" containsBlank="1"/>
    </cacheField>
    <cacheField name="MÊS" numFmtId="0">
      <sharedItems containsNonDate="0" containsString="0" containsBlank="1" count="1">
        <m/>
      </sharedItems>
    </cacheField>
    <cacheField name="ANO" numFmtId="0">
      <sharedItems containsNonDate="0"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m/>
    <m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">
  <r>
    <x v="0"/>
    <m/>
    <m/>
    <m/>
    <m/>
    <m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bl_RelatorioAnual" cacheId="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 rowHeaderCaption="CLIENTES" colHeaderCaption="">
  <location ref="B5:D8" firstHeaderRow="1" firstDataRow="2" firstDataCol="1" rowPageCount="1" colPageCount="1"/>
  <pivotFields count="8">
    <pivotField axis="axisRow" showAll="0">
      <items count="2">
        <item x="0"/>
        <item t="default"/>
      </items>
    </pivotField>
    <pivotField dataField="1" numFmtId="164" showAll="0"/>
    <pivotField numFmtId="14" showAll="0"/>
    <pivotField showAll="0"/>
    <pivotField showAll="0"/>
    <pivotField numFmtId="14" showAll="0"/>
    <pivotField axis="axisCol" showAll="0">
      <items count="2">
        <item x="0"/>
        <item t="default"/>
      </items>
    </pivotField>
    <pivotField axis="axisPage" showAll="0">
      <items count="2">
        <item x="0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6"/>
  </colFields>
  <colItems count="2">
    <i>
      <x/>
    </i>
    <i t="grand">
      <x/>
    </i>
  </colItems>
  <pageFields count="1">
    <pageField fld="7" hier="-1"/>
  </pageFields>
  <dataFields count="1">
    <dataField name="Relatório mês / ano" fld="1" baseField="6" baseItem="0" numFmtId="164"/>
  </dataFields>
  <formats count="9">
    <format dxfId="43">
      <pivotArea type="all" dataOnly="0" outline="0" fieldPosition="0"/>
    </format>
    <format dxfId="42">
      <pivotArea type="all" dataOnly="0" outline="0" fieldPosition="0"/>
    </format>
    <format dxfId="41">
      <pivotArea type="all" dataOnly="0" outline="0" fieldPosition="0"/>
    </format>
    <format dxfId="40">
      <pivotArea dataOnly="0" labelOnly="1" outline="0" fieldPosition="0">
        <references count="1">
          <reference field="7" count="0"/>
        </references>
      </pivotArea>
    </format>
    <format dxfId="39">
      <pivotArea field="6" type="button" dataOnly="0" labelOnly="1" outline="0" axis="axisCol" fieldPosition="0"/>
    </format>
    <format dxfId="38">
      <pivotArea field="0" type="button" dataOnly="0" labelOnly="1" outline="0" axis="axisRow" fieldPosition="0"/>
    </format>
    <format dxfId="37">
      <pivotArea dataOnly="0" labelOnly="1" fieldPosition="0">
        <references count="1">
          <reference field="0" count="0"/>
        </references>
      </pivotArea>
    </format>
    <format dxfId="36">
      <pivotArea dataOnly="0" labelOnly="1" grandRow="1" outline="0" fieldPosition="0"/>
    </format>
    <format dxfId="35">
      <pivotArea field="7" type="button" dataOnly="0" labelOnly="1" outline="0" axis="axisPage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bl_V_AnoMes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rowHeaderCaption="Cliente" colHeaderCaption="Mês">
  <location ref="B5:D8" firstHeaderRow="1" firstDataRow="2" firstDataCol="1" rowPageCount="1" colPageCount="1"/>
  <pivotFields count="7">
    <pivotField axis="axisRow" showAll="0">
      <items count="6">
        <item m="1" x="4"/>
        <item m="1" x="2"/>
        <item m="1" x="1"/>
        <item m="1" x="3"/>
        <item x="0"/>
        <item t="default"/>
      </items>
    </pivotField>
    <pivotField dataField="1" numFmtId="164" showAll="0"/>
    <pivotField numFmtId="14" showAll="0"/>
    <pivotField showAll="0"/>
    <pivotField numFmtId="14" showAll="0"/>
    <pivotField axis="axisCol" showAll="0">
      <items count="6">
        <item m="1" x="1"/>
        <item m="1" x="3"/>
        <item m="1" x="4"/>
        <item m="1" x="2"/>
        <item x="0"/>
        <item t="default"/>
      </items>
    </pivotField>
    <pivotField axis="axisPage" showAll="0">
      <items count="3">
        <item m="1" x="1"/>
        <item x="0"/>
        <item t="default"/>
      </items>
    </pivotField>
  </pivotFields>
  <rowFields count="1">
    <field x="0"/>
  </rowFields>
  <rowItems count="2">
    <i>
      <x v="4"/>
    </i>
    <i t="grand">
      <x/>
    </i>
  </rowItems>
  <colFields count="1">
    <field x="5"/>
  </colFields>
  <colItems count="2">
    <i>
      <x v="4"/>
    </i>
    <i t="grand">
      <x/>
    </i>
  </colItems>
  <pageFields count="1">
    <pageField fld="6" hier="-1"/>
  </pageFields>
  <dataFields count="1">
    <dataField name="Relatório mês / ano" fld="1" baseField="0" baseItem="0" numFmtId="164"/>
  </dataFields>
  <formats count="8">
    <format dxfId="10">
      <pivotArea type="all" dataOnly="0" outline="0" fieldPosition="0"/>
    </format>
    <format dxfId="9">
      <pivotArea type="all" dataOnly="0" outline="0" fieldPosition="0"/>
    </format>
    <format dxfId="8">
      <pivotArea type="origin" dataOnly="0" labelOnly="1" outline="0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field="6" type="button" dataOnly="0" labelOnly="1" outline="0" axis="axisPage" fieldPosition="0"/>
    </format>
    <format dxfId="4">
      <pivotArea type="all" dataOnly="0" outline="0" fieldPosition="0"/>
    </format>
    <format dxfId="3">
      <pivotArea field="0" type="button" dataOnly="0" labelOnly="1" outline="0" axis="axisRow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bl_Clientes" displayName="Tbl_Clientes" ref="B5:H6" insertRow="1" totalsRowShown="0" headerRowDxfId="62" dataDxfId="61">
  <autoFilter ref="B5:H6"/>
  <sortState ref="B6:H10">
    <sortCondition ref="B6:B10"/>
  </sortState>
  <tableColumns count="7">
    <tableColumn id="1" name="NOME DO CLIENTE" dataDxfId="60"/>
    <tableColumn id="2" name="VALOR R$" dataDxfId="59"/>
    <tableColumn id="3" name="DATA VENCIMENTO" dataDxfId="58"/>
    <tableColumn id="4" name="PRODUTO" dataDxfId="57"/>
    <tableColumn id="5" name="PLANO" dataDxfId="56"/>
    <tableColumn id="6" name="SITUAÇÃO" dataDxfId="55"/>
    <tableColumn id="7" name="MÊS" dataDxfId="54"/>
  </tableColumns>
  <tableStyleInfo name="TableStyleLight13 2" showFirstColumn="0" showLastColumn="0" showRowStripes="1" showColumnStripes="0"/>
</table>
</file>

<file path=xl/tables/table2.xml><?xml version="1.0" encoding="utf-8"?>
<table xmlns="http://schemas.openxmlformats.org/spreadsheetml/2006/main" id="2" name="Tbl_C_Recebidas" displayName="Tbl_C_Recebidas" ref="B5:I6" insertRow="1" totalsRowShown="0" headerRowDxfId="53" dataDxfId="52">
  <autoFilter ref="B5:I6"/>
  <tableColumns count="8">
    <tableColumn id="1" name="NOME DO CLIENTE" dataDxfId="51"/>
    <tableColumn id="2" name="VALOR R$" dataDxfId="50"/>
    <tableColumn id="3" name="DATA VENCIMENTO" dataDxfId="49"/>
    <tableColumn id="4" name="PRODUTO" dataDxfId="48"/>
    <tableColumn id="5" name="PLANO" dataDxfId="47"/>
    <tableColumn id="6" name="DATA PGTO" dataDxfId="46"/>
    <tableColumn id="7" name="MÊS" dataDxfId="45"/>
    <tableColumn id="8" name="ANO" dataDxfId="44"/>
  </tableColumns>
  <tableStyleInfo name="TableStyleLight13 2" showFirstColumn="0" showLastColumn="0" showRowStripes="1" showColumnStripes="0"/>
</table>
</file>

<file path=xl/tables/table3.xml><?xml version="1.0" encoding="utf-8"?>
<table xmlns="http://schemas.openxmlformats.org/spreadsheetml/2006/main" id="3" name="Tbl_RelSituac" displayName="Tbl_RelSituac" ref="B5:G11" totalsRowShown="0" headerRowDxfId="34" dataDxfId="33">
  <tableColumns count="6">
    <tableColumn id="1" name="NOME DO CLIENTE" dataDxfId="32"/>
    <tableColumn id="2" name="VALOR R$" dataDxfId="31"/>
    <tableColumn id="3" name="DATA VENCIMENTO" dataDxfId="30"/>
    <tableColumn id="4" name="PRODUTO" dataDxfId="29"/>
    <tableColumn id="5" name="PLANO" dataDxfId="28"/>
    <tableColumn id="6" name="MÊS" dataDxfId="27"/>
  </tableColumns>
  <tableStyleInfo name="TableStyleLight13 2" showFirstColumn="0" showLastColumn="0" showRowStripes="1" showColumnStripes="0"/>
</table>
</file>

<file path=xl/tables/table4.xml><?xml version="1.0" encoding="utf-8"?>
<table xmlns="http://schemas.openxmlformats.org/spreadsheetml/2006/main" id="4" name="Tbl_Vendas" displayName="Tbl_Vendas" ref="B5:F6" insertRow="1" totalsRowShown="0" headerRowDxfId="26" dataDxfId="25">
  <autoFilter ref="B5:F6"/>
  <tableColumns count="5">
    <tableColumn id="1" name="NOME DO CLIENTE" dataDxfId="24"/>
    <tableColumn id="2" name="VALOR R$" dataDxfId="23"/>
    <tableColumn id="3" name="DATA VENCIMENTO" dataDxfId="22"/>
    <tableColumn id="4" name="DESCRIÇÃO" dataDxfId="21"/>
    <tableColumn id="5" name="MÊS" dataDxfId="20"/>
  </tableColumns>
  <tableStyleInfo name="TableStyleLight13 2" showFirstColumn="0" showLastColumn="0" showRowStripes="1" showColumnStripes="0"/>
</table>
</file>

<file path=xl/tables/table5.xml><?xml version="1.0" encoding="utf-8"?>
<table xmlns="http://schemas.openxmlformats.org/spreadsheetml/2006/main" id="5" name="Tbl_Venda_Recb" displayName="Tbl_Venda_Recb" ref="B5:H6" insertRow="1" totalsRowShown="0" headerRowDxfId="19" dataDxfId="18">
  <autoFilter ref="B5:H6"/>
  <tableColumns count="7">
    <tableColumn id="1" name="NOME DO CLIENTE" dataDxfId="17"/>
    <tableColumn id="2" name="VALOR R$" dataDxfId="16"/>
    <tableColumn id="3" name="DATA VENCIMENTO" dataDxfId="15"/>
    <tableColumn id="4" name="DESCRIÇÃO" dataDxfId="14"/>
    <tableColumn id="6" name="DATA PGTO" dataDxfId="13"/>
    <tableColumn id="5" name="MÊS" dataDxfId="12"/>
    <tableColumn id="7" name="ANO" dataDxfId="11"/>
  </tableColumns>
  <tableStyleInfo name="TableStyleLight13 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Painel"/>
  <dimension ref="A1"/>
  <sheetViews>
    <sheetView showGridLines="0" showRowColHeaders="0" tabSelected="1" zoomScaleNormal="100" workbookViewId="0"/>
  </sheetViews>
  <sheetFormatPr defaultRowHeight="15" x14ac:dyDescent="0.25"/>
  <sheetData/>
  <sheetProtection sheet="1" objects="1" scenarios="1" selectLockedCells="1" selectUnlockedCells="1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Clientes"/>
  <dimension ref="B5:H6"/>
  <sheetViews>
    <sheetView showGridLines="0" showRowColHeaders="0" workbookViewId="0">
      <pane ySplit="5" topLeftCell="A6" activePane="bottomLeft" state="frozen"/>
      <selection pane="bottomLeft" activeCell="B6" sqref="B6"/>
    </sheetView>
  </sheetViews>
  <sheetFormatPr defaultRowHeight="24.95" customHeight="1" x14ac:dyDescent="0.25"/>
  <cols>
    <col min="1" max="1" width="1.7109375" style="3" customWidth="1"/>
    <col min="2" max="2" width="22" style="3" bestFit="1" customWidth="1"/>
    <col min="3" max="3" width="14.140625" style="3" bestFit="1" customWidth="1"/>
    <col min="4" max="4" width="23.140625" style="3" bestFit="1" customWidth="1"/>
    <col min="5" max="5" width="16" style="3" bestFit="1" customWidth="1"/>
    <col min="6" max="6" width="12" style="3" bestFit="1" customWidth="1"/>
    <col min="7" max="7" width="14.5703125" style="3" bestFit="1" customWidth="1"/>
    <col min="8" max="8" width="10.42578125" style="3" bestFit="1" customWidth="1"/>
    <col min="9" max="16384" width="9.140625" style="3"/>
  </cols>
  <sheetData>
    <row r="5" spans="2:8" ht="30" customHeight="1" x14ac:dyDescent="0.25">
      <c r="B5" s="5" t="s">
        <v>7</v>
      </c>
      <c r="C5" s="5" t="s">
        <v>8</v>
      </c>
      <c r="D5" s="5" t="s">
        <v>6</v>
      </c>
      <c r="E5" s="5" t="s">
        <v>0</v>
      </c>
      <c r="F5" s="5" t="s">
        <v>5</v>
      </c>
      <c r="G5" s="5" t="s">
        <v>4</v>
      </c>
      <c r="H5" s="5" t="s">
        <v>2</v>
      </c>
    </row>
    <row r="6" spans="2:8" ht="24.95" customHeight="1" x14ac:dyDescent="0.25">
      <c r="C6" s="4"/>
      <c r="D6" s="2"/>
      <c r="G6" s="1"/>
      <c r="H6" s="1"/>
    </row>
  </sheetData>
  <sheetProtection sheet="1" objects="1" scenarios="1" autoFilter="0"/>
  <conditionalFormatting sqref="G6">
    <cfRule type="cellIs" dxfId="2" priority="1" operator="equal">
      <formula>"OK"</formula>
    </cfRule>
    <cfRule type="cellIs" dxfId="1" priority="2" operator="equal">
      <formula>"VENCE HOJE"</formula>
    </cfRule>
    <cfRule type="cellIs" dxfId="0" priority="3" operator="equal">
      <formula>"ATRASADO"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ContasR"/>
  <dimension ref="B5:I6"/>
  <sheetViews>
    <sheetView showGridLines="0" showRowColHeaders="0" workbookViewId="0">
      <pane ySplit="5" topLeftCell="A6" activePane="bottomLeft" state="frozen"/>
      <selection pane="bottomLeft" activeCell="B6" sqref="B6"/>
    </sheetView>
  </sheetViews>
  <sheetFormatPr defaultRowHeight="24.95" customHeight="1" x14ac:dyDescent="0.25"/>
  <cols>
    <col min="1" max="1" width="1.7109375" style="3" customWidth="1"/>
    <col min="2" max="2" width="22" style="1" bestFit="1" customWidth="1"/>
    <col min="3" max="3" width="14.140625" style="1" bestFit="1" customWidth="1"/>
    <col min="4" max="4" width="23.140625" style="1" bestFit="1" customWidth="1"/>
    <col min="5" max="5" width="14.28515625" style="1" bestFit="1" customWidth="1"/>
    <col min="6" max="6" width="11.7109375" style="1" bestFit="1" customWidth="1"/>
    <col min="7" max="7" width="15.7109375" style="1" bestFit="1" customWidth="1"/>
    <col min="8" max="8" width="10.42578125" style="1" bestFit="1" customWidth="1"/>
    <col min="9" max="9" width="9.7109375" style="1" bestFit="1" customWidth="1"/>
    <col min="10" max="10" width="18" style="3" customWidth="1"/>
    <col min="11" max="16384" width="9.140625" style="3"/>
  </cols>
  <sheetData>
    <row r="5" spans="2:9" s="8" customFormat="1" ht="30" customHeight="1" x14ac:dyDescent="0.25">
      <c r="B5" s="8" t="s">
        <v>7</v>
      </c>
      <c r="C5" s="8" t="s">
        <v>8</v>
      </c>
      <c r="D5" s="8" t="s">
        <v>6</v>
      </c>
      <c r="E5" s="8" t="s">
        <v>0</v>
      </c>
      <c r="F5" s="8" t="s">
        <v>5</v>
      </c>
      <c r="G5" s="8" t="s">
        <v>23</v>
      </c>
      <c r="H5" s="8" t="s">
        <v>2</v>
      </c>
      <c r="I5" s="8" t="s">
        <v>3</v>
      </c>
    </row>
    <row r="6" spans="2:9" ht="24.95" customHeight="1" x14ac:dyDescent="0.25">
      <c r="B6" s="7"/>
      <c r="C6" s="6"/>
      <c r="D6" s="2"/>
      <c r="E6" s="7"/>
      <c r="F6" s="7"/>
      <c r="G6" s="2"/>
    </row>
  </sheetData>
  <sheetProtection sheet="1" objects="1" scenarios="1" autoFilter="0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R_MesAno"/>
  <dimension ref="B3:G22"/>
  <sheetViews>
    <sheetView showGridLines="0" showRowColHeaders="0" workbookViewId="0">
      <pane ySplit="6" topLeftCell="A7" activePane="bottomLeft" state="frozen"/>
      <selection pane="bottomLeft" activeCell="B6" sqref="B6"/>
    </sheetView>
  </sheetViews>
  <sheetFormatPr defaultRowHeight="24.95" customHeight="1" x14ac:dyDescent="0.25"/>
  <cols>
    <col min="1" max="1" width="1.7109375" style="1" customWidth="1"/>
    <col min="2" max="2" width="20" style="7" customWidth="1"/>
    <col min="3" max="3" width="12.85546875" style="1" bestFit="1" customWidth="1"/>
    <col min="4" max="4" width="12.140625" style="1" bestFit="1" customWidth="1"/>
    <col min="5" max="5" width="11.85546875" style="1" bestFit="1" customWidth="1"/>
    <col min="6" max="6" width="11.5703125" style="1" customWidth="1"/>
    <col min="7" max="7" width="12.140625" style="1" bestFit="1" customWidth="1"/>
    <col min="8" max="16384" width="9.140625" style="1"/>
  </cols>
  <sheetData>
    <row r="3" spans="2:7" ht="24.95" customHeight="1" x14ac:dyDescent="0.25">
      <c r="B3" s="11" t="s">
        <v>3</v>
      </c>
      <c r="C3" s="6" t="s">
        <v>25</v>
      </c>
    </row>
    <row r="5" spans="2:7" ht="24.95" customHeight="1" x14ac:dyDescent="0.25">
      <c r="B5" s="11" t="s">
        <v>28</v>
      </c>
      <c r="C5" s="11" t="s">
        <v>26</v>
      </c>
      <c r="D5" s="6"/>
      <c r="E5"/>
      <c r="F5"/>
      <c r="G5"/>
    </row>
    <row r="6" spans="2:7" ht="24.95" customHeight="1" x14ac:dyDescent="0.25">
      <c r="B6" s="12" t="s">
        <v>27</v>
      </c>
      <c r="C6" s="6" t="s">
        <v>45</v>
      </c>
      <c r="D6" s="6" t="s">
        <v>24</v>
      </c>
      <c r="E6"/>
      <c r="F6"/>
      <c r="G6"/>
    </row>
    <row r="7" spans="2:7" ht="24.95" customHeight="1" x14ac:dyDescent="0.25">
      <c r="B7" s="13" t="s">
        <v>45</v>
      </c>
      <c r="C7" s="6"/>
      <c r="D7" s="6"/>
      <c r="E7"/>
      <c r="F7"/>
      <c r="G7"/>
    </row>
    <row r="8" spans="2:7" ht="24.95" customHeight="1" x14ac:dyDescent="0.25">
      <c r="B8" s="13" t="s">
        <v>24</v>
      </c>
      <c r="C8" s="6"/>
      <c r="D8" s="6"/>
      <c r="E8"/>
      <c r="F8"/>
      <c r="G8"/>
    </row>
    <row r="9" spans="2:7" ht="24.95" customHeight="1" x14ac:dyDescent="0.25">
      <c r="B9"/>
      <c r="C9"/>
      <c r="D9"/>
      <c r="E9"/>
      <c r="F9"/>
      <c r="G9"/>
    </row>
    <row r="10" spans="2:7" ht="24.95" customHeight="1" x14ac:dyDescent="0.25">
      <c r="B10"/>
      <c r="C10"/>
      <c r="D10"/>
      <c r="E10"/>
      <c r="F10"/>
      <c r="G10"/>
    </row>
    <row r="11" spans="2:7" ht="24.95" customHeight="1" x14ac:dyDescent="0.25">
      <c r="B11"/>
      <c r="C11"/>
      <c r="D11"/>
      <c r="E11"/>
      <c r="F11"/>
      <c r="G11"/>
    </row>
    <row r="12" spans="2:7" ht="24.95" customHeight="1" x14ac:dyDescent="0.25">
      <c r="B12"/>
      <c r="C12"/>
      <c r="D12"/>
      <c r="E12"/>
      <c r="F12"/>
      <c r="G12"/>
    </row>
    <row r="13" spans="2:7" ht="24.95" customHeight="1" x14ac:dyDescent="0.25">
      <c r="B13"/>
      <c r="C13"/>
      <c r="D13"/>
      <c r="E13"/>
      <c r="F13"/>
      <c r="G13"/>
    </row>
    <row r="14" spans="2:7" ht="24.95" customHeight="1" x14ac:dyDescent="0.25">
      <c r="B14"/>
      <c r="C14"/>
      <c r="D14"/>
      <c r="E14"/>
      <c r="F14"/>
      <c r="G14"/>
    </row>
    <row r="15" spans="2:7" ht="24.95" customHeight="1" x14ac:dyDescent="0.25">
      <c r="B15" s="10"/>
      <c r="C15" s="9"/>
      <c r="D15"/>
    </row>
    <row r="16" spans="2:7" ht="24.95" customHeight="1" x14ac:dyDescent="0.25">
      <c r="B16" s="10"/>
      <c r="C16" s="9"/>
      <c r="D16"/>
    </row>
    <row r="17" spans="2:4" ht="24.95" customHeight="1" x14ac:dyDescent="0.25">
      <c r="B17" s="10"/>
      <c r="C17" s="9"/>
      <c r="D17"/>
    </row>
    <row r="18" spans="2:4" ht="24.95" customHeight="1" x14ac:dyDescent="0.25">
      <c r="B18" s="10"/>
      <c r="C18" s="9"/>
      <c r="D18"/>
    </row>
    <row r="19" spans="2:4" ht="24.95" customHeight="1" x14ac:dyDescent="0.25">
      <c r="B19" s="10"/>
      <c r="C19" s="9"/>
      <c r="D19"/>
    </row>
    <row r="20" spans="2:4" ht="24.95" customHeight="1" x14ac:dyDescent="0.25">
      <c r="B20" s="10"/>
      <c r="C20" s="9"/>
      <c r="D20"/>
    </row>
    <row r="21" spans="2:4" ht="24.95" customHeight="1" x14ac:dyDescent="0.25">
      <c r="B21" s="10"/>
      <c r="C21" s="9"/>
      <c r="D21"/>
    </row>
    <row r="22" spans="2:4" ht="24.95" customHeight="1" x14ac:dyDescent="0.25">
      <c r="B22" s="10"/>
      <c r="C22" s="9"/>
      <c r="D22"/>
    </row>
  </sheetData>
  <sheetProtection autoFilter="0"/>
  <pageMargins left="0.511811024" right="0.511811024" top="0.78740157499999996" bottom="0.78740157499999996" header="0.31496062000000002" footer="0.31496062000000002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R_Situac"/>
  <dimension ref="B2:G11"/>
  <sheetViews>
    <sheetView showGridLines="0" showRowColHeaders="0" workbookViewId="0">
      <selection activeCell="B6" sqref="B6"/>
    </sheetView>
  </sheetViews>
  <sheetFormatPr defaultRowHeight="24.95" customHeight="1" x14ac:dyDescent="0.25"/>
  <cols>
    <col min="1" max="1" width="1.7109375" style="1" customWidth="1"/>
    <col min="2" max="2" width="17.42578125" style="1" bestFit="1" customWidth="1"/>
    <col min="3" max="3" width="10.5703125" style="1" bestFit="1" customWidth="1"/>
    <col min="4" max="4" width="18.5703125" style="1" bestFit="1" customWidth="1"/>
    <col min="5" max="5" width="9.7109375" style="1" bestFit="1" customWidth="1"/>
    <col min="6" max="6" width="9" style="1" bestFit="1" customWidth="1"/>
    <col min="7" max="7" width="8.42578125" style="1" bestFit="1" customWidth="1"/>
    <col min="8" max="16384" width="9.140625" style="1"/>
  </cols>
  <sheetData>
    <row r="2" spans="2:7" ht="24.95" customHeight="1" x14ac:dyDescent="0.25">
      <c r="B2" s="17" t="s">
        <v>41</v>
      </c>
      <c r="C2" s="16"/>
      <c r="D2" s="16"/>
      <c r="E2" s="16"/>
      <c r="F2" s="16"/>
      <c r="G2" s="16"/>
    </row>
    <row r="5" spans="2:7" ht="24.95" customHeight="1" x14ac:dyDescent="0.25">
      <c r="B5" s="1" t="s">
        <v>7</v>
      </c>
      <c r="C5" s="1" t="s">
        <v>8</v>
      </c>
      <c r="D5" s="1" t="s">
        <v>6</v>
      </c>
      <c r="E5" s="1" t="s">
        <v>0</v>
      </c>
      <c r="F5" s="1" t="s">
        <v>5</v>
      </c>
      <c r="G5" s="1" t="s">
        <v>2</v>
      </c>
    </row>
    <row r="6" spans="2:7" ht="24.95" customHeight="1" x14ac:dyDescent="0.25">
      <c r="B6" s="7" t="s">
        <v>29</v>
      </c>
      <c r="C6" s="6">
        <v>31</v>
      </c>
      <c r="D6" s="2">
        <v>44115</v>
      </c>
      <c r="E6" s="7" t="s">
        <v>1</v>
      </c>
      <c r="F6" s="7" t="s">
        <v>20</v>
      </c>
      <c r="G6" s="1" t="s">
        <v>11</v>
      </c>
    </row>
    <row r="7" spans="2:7" ht="24.95" customHeight="1" x14ac:dyDescent="0.25">
      <c r="B7" s="7" t="s">
        <v>9</v>
      </c>
      <c r="C7" s="6">
        <v>3</v>
      </c>
      <c r="D7" s="2">
        <v>44114</v>
      </c>
      <c r="E7" s="7" t="s">
        <v>10</v>
      </c>
      <c r="F7" s="7" t="s">
        <v>21</v>
      </c>
      <c r="G7" s="1" t="s">
        <v>11</v>
      </c>
    </row>
    <row r="8" spans="2:7" ht="24.95" customHeight="1" x14ac:dyDescent="0.25">
      <c r="B8" s="7" t="s">
        <v>12</v>
      </c>
      <c r="C8" s="6">
        <v>33</v>
      </c>
      <c r="D8" s="2">
        <v>44116</v>
      </c>
      <c r="E8" s="7" t="s">
        <v>13</v>
      </c>
      <c r="F8" s="7" t="s">
        <v>14</v>
      </c>
      <c r="G8" s="1" t="s">
        <v>11</v>
      </c>
    </row>
    <row r="9" spans="2:7" ht="24.95" customHeight="1" x14ac:dyDescent="0.25">
      <c r="B9" s="7" t="s">
        <v>15</v>
      </c>
      <c r="C9" s="6">
        <v>10</v>
      </c>
      <c r="D9" s="2">
        <v>44116</v>
      </c>
      <c r="E9" s="7" t="s">
        <v>16</v>
      </c>
      <c r="F9" s="7" t="s">
        <v>17</v>
      </c>
      <c r="G9" s="1" t="s">
        <v>11</v>
      </c>
    </row>
    <row r="10" spans="2:7" ht="24.95" customHeight="1" x14ac:dyDescent="0.25">
      <c r="B10" s="7" t="s">
        <v>18</v>
      </c>
      <c r="C10" s="6">
        <v>50</v>
      </c>
      <c r="D10" s="2">
        <v>44117</v>
      </c>
      <c r="E10" s="7" t="s">
        <v>19</v>
      </c>
      <c r="F10" s="7" t="s">
        <v>22</v>
      </c>
      <c r="G10" s="1" t="s">
        <v>11</v>
      </c>
    </row>
    <row r="11" spans="2:7" ht="24.95" customHeight="1" x14ac:dyDescent="0.25">
      <c r="B11" s="7" t="s">
        <v>30</v>
      </c>
      <c r="C11" s="6">
        <v>631.58000000000004</v>
      </c>
      <c r="D11" s="2">
        <v>44117</v>
      </c>
      <c r="E11" s="7" t="s">
        <v>31</v>
      </c>
      <c r="F11" s="7" t="s">
        <v>32</v>
      </c>
      <c r="G11" s="1" t="s">
        <v>11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Vendas"/>
  <dimension ref="B5:F6"/>
  <sheetViews>
    <sheetView showGridLines="0" showRowColHeaders="0" workbookViewId="0">
      <pane ySplit="5" topLeftCell="A6" activePane="bottomLeft" state="frozen"/>
      <selection pane="bottomLeft" activeCell="B6" sqref="B6"/>
    </sheetView>
  </sheetViews>
  <sheetFormatPr defaultRowHeight="24.95" customHeight="1" x14ac:dyDescent="0.25"/>
  <cols>
    <col min="1" max="1" width="1.7109375" style="3" customWidth="1"/>
    <col min="2" max="2" width="19.7109375" style="3" bestFit="1" customWidth="1"/>
    <col min="3" max="3" width="12.140625" style="3" bestFit="1" customWidth="1"/>
    <col min="4" max="4" width="20.85546875" style="3" bestFit="1" customWidth="1"/>
    <col min="5" max="5" width="18.7109375" style="3" bestFit="1" customWidth="1"/>
    <col min="6" max="6" width="8.42578125" style="3" bestFit="1" customWidth="1"/>
    <col min="7" max="16384" width="9.140625" style="3"/>
  </cols>
  <sheetData>
    <row r="5" spans="2:6" ht="30" customHeight="1" x14ac:dyDescent="0.25">
      <c r="B5" s="18" t="s">
        <v>7</v>
      </c>
      <c r="C5" s="18" t="s">
        <v>8</v>
      </c>
      <c r="D5" s="18" t="s">
        <v>6</v>
      </c>
      <c r="E5" s="18" t="s">
        <v>42</v>
      </c>
      <c r="F5" s="18" t="s">
        <v>2</v>
      </c>
    </row>
    <row r="6" spans="2:6" ht="24.95" customHeight="1" x14ac:dyDescent="0.25">
      <c r="C6" s="4"/>
      <c r="D6" s="2"/>
    </row>
  </sheetData>
  <sheetProtection sheet="1" objects="1" scenarios="1" autoFilter="0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VendaRcb"/>
  <dimension ref="B5:H6"/>
  <sheetViews>
    <sheetView showGridLines="0" showRowColHeaders="0" workbookViewId="0">
      <pane ySplit="5" topLeftCell="A6" activePane="bottomLeft" state="frozen"/>
      <selection pane="bottomLeft" activeCell="B6" sqref="B6"/>
    </sheetView>
  </sheetViews>
  <sheetFormatPr defaultRowHeight="24.95" customHeight="1" x14ac:dyDescent="0.25"/>
  <cols>
    <col min="1" max="1" width="1.7109375" style="3" customWidth="1"/>
    <col min="2" max="2" width="19.7109375" style="3" bestFit="1" customWidth="1"/>
    <col min="3" max="3" width="11.85546875" style="3" bestFit="1" customWidth="1"/>
    <col min="4" max="4" width="20.85546875" style="3" bestFit="1" customWidth="1"/>
    <col min="5" max="5" width="13.28515625" style="3" bestFit="1" customWidth="1"/>
    <col min="6" max="6" width="13.42578125" style="3" bestFit="1" customWidth="1"/>
    <col min="7" max="7" width="10.42578125" style="3" bestFit="1" customWidth="1"/>
    <col min="8" max="8" width="7.42578125" style="3" bestFit="1" customWidth="1"/>
    <col min="9" max="16384" width="9.140625" style="3"/>
  </cols>
  <sheetData>
    <row r="5" spans="2:8" s="18" customFormat="1" ht="30" customHeight="1" x14ac:dyDescent="0.25">
      <c r="B5" s="18" t="s">
        <v>7</v>
      </c>
      <c r="C5" s="18" t="s">
        <v>8</v>
      </c>
      <c r="D5" s="18" t="s">
        <v>6</v>
      </c>
      <c r="E5" s="18" t="s">
        <v>42</v>
      </c>
      <c r="F5" s="18" t="s">
        <v>23</v>
      </c>
      <c r="G5" s="18" t="s">
        <v>2</v>
      </c>
      <c r="H5" s="18" t="s">
        <v>3</v>
      </c>
    </row>
    <row r="6" spans="2:8" ht="24.95" customHeight="1" x14ac:dyDescent="0.25">
      <c r="C6" s="4"/>
      <c r="D6" s="2"/>
      <c r="F6" s="2"/>
    </row>
  </sheetData>
  <sheetProtection sheet="1" objects="1" scenarios="1" autoFilter="0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V_MesAno"/>
  <dimension ref="B3:D11"/>
  <sheetViews>
    <sheetView showGridLines="0" showRowColHeaders="0" workbookViewId="0">
      <pane ySplit="6" topLeftCell="A7" activePane="bottomLeft" state="frozen"/>
      <selection pane="bottomLeft" activeCell="B6" sqref="B6"/>
    </sheetView>
  </sheetViews>
  <sheetFormatPr defaultRowHeight="24.95" customHeight="1" x14ac:dyDescent="0.25"/>
  <cols>
    <col min="1" max="1" width="1.7109375" customWidth="1"/>
    <col min="2" max="2" width="20" style="10" bestFit="1" customWidth="1"/>
    <col min="3" max="3" width="12.85546875" bestFit="1" customWidth="1"/>
    <col min="4" max="4" width="12.140625" bestFit="1" customWidth="1"/>
    <col min="5" max="5" width="11.85546875" bestFit="1" customWidth="1"/>
    <col min="6" max="7" width="12.140625" bestFit="1" customWidth="1"/>
  </cols>
  <sheetData>
    <row r="3" spans="2:4" ht="24.95" customHeight="1" x14ac:dyDescent="0.25">
      <c r="B3" s="11" t="s">
        <v>3</v>
      </c>
      <c r="C3" s="6" t="s">
        <v>25</v>
      </c>
    </row>
    <row r="5" spans="2:4" ht="24.95" customHeight="1" x14ac:dyDescent="0.25">
      <c r="B5" s="12" t="s">
        <v>28</v>
      </c>
      <c r="C5" s="11" t="s">
        <v>44</v>
      </c>
      <c r="D5" s="6"/>
    </row>
    <row r="6" spans="2:4" ht="24.95" customHeight="1" x14ac:dyDescent="0.25">
      <c r="B6" s="12" t="s">
        <v>43</v>
      </c>
      <c r="C6" s="6" t="s">
        <v>45</v>
      </c>
      <c r="D6" s="6" t="s">
        <v>24</v>
      </c>
    </row>
    <row r="7" spans="2:4" ht="24.95" customHeight="1" x14ac:dyDescent="0.25">
      <c r="B7" s="13" t="s">
        <v>45</v>
      </c>
      <c r="C7" s="6"/>
      <c r="D7" s="6"/>
    </row>
    <row r="8" spans="2:4" ht="24.95" customHeight="1" x14ac:dyDescent="0.25">
      <c r="B8" s="13" t="s">
        <v>24</v>
      </c>
      <c r="C8" s="6"/>
      <c r="D8" s="6"/>
    </row>
    <row r="9" spans="2:4" ht="24.95" customHeight="1" x14ac:dyDescent="0.25">
      <c r="B9"/>
    </row>
    <row r="10" spans="2:4" ht="24.95" customHeight="1" x14ac:dyDescent="0.25">
      <c r="B10"/>
    </row>
    <row r="11" spans="2:4" ht="24.95" customHeight="1" x14ac:dyDescent="0.25">
      <c r="B11"/>
    </row>
  </sheetData>
  <pageMargins left="0.511811024" right="0.511811024" top="0.78740157499999996" bottom="0.78740157499999996" header="0.31496062000000002" footer="0.31496062000000002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Calculos"/>
  <dimension ref="A1:E4"/>
  <sheetViews>
    <sheetView workbookViewId="0">
      <selection activeCell="F23" sqref="F23"/>
    </sheetView>
  </sheetViews>
  <sheetFormatPr defaultRowHeight="15" x14ac:dyDescent="0.25"/>
  <cols>
    <col min="1" max="1" width="18.28515625" bestFit="1" customWidth="1"/>
    <col min="2" max="2" width="9.140625" style="15"/>
    <col min="4" max="4" width="15.7109375" customWidth="1"/>
    <col min="5" max="5" width="19.7109375" style="14" customWidth="1"/>
  </cols>
  <sheetData>
    <row r="1" spans="1:5" x14ac:dyDescent="0.25">
      <c r="A1" t="s">
        <v>33</v>
      </c>
      <c r="B1" s="15">
        <v>0</v>
      </c>
      <c r="D1" t="s">
        <v>38</v>
      </c>
      <c r="E1" s="14">
        <v>0</v>
      </c>
    </row>
    <row r="2" spans="1:5" x14ac:dyDescent="0.25">
      <c r="A2" t="s">
        <v>34</v>
      </c>
      <c r="B2" s="15">
        <v>0</v>
      </c>
      <c r="D2" t="s">
        <v>37</v>
      </c>
      <c r="E2" s="14">
        <v>0</v>
      </c>
    </row>
    <row r="3" spans="1:5" x14ac:dyDescent="0.25">
      <c r="A3" t="s">
        <v>35</v>
      </c>
      <c r="B3" s="15">
        <v>0</v>
      </c>
      <c r="D3" t="s">
        <v>36</v>
      </c>
      <c r="E3" s="14">
        <v>0</v>
      </c>
    </row>
    <row r="4" spans="1:5" x14ac:dyDescent="0.25">
      <c r="A4" t="s">
        <v>39</v>
      </c>
      <c r="B4" s="15">
        <f>SUM(B1:B3)</f>
        <v>0</v>
      </c>
      <c r="D4" t="s">
        <v>40</v>
      </c>
      <c r="E4" s="14">
        <f>SUM(E1:E3)</f>
        <v>0</v>
      </c>
    </row>
  </sheetData>
  <pageMargins left="0.511811024" right="0.511811024" top="0.78740157499999996" bottom="0.78740157499999996" header="0.31496062000000002" footer="0.31496062000000002"/>
</worksheet>
</file>

<file path=customUI/customUI.xml><?xml version="1.0" encoding="utf-8"?>
<customUI xmlns="http://schemas.microsoft.com/office/2006/01/customui">
  <ribbon>
    <tabs>
      <tab id="customTab" label="CONTROLE DE RECEBIMENTOS DE CONTAS" insertBeforeMso="TabHome">
        <group id="A" label="ACESSAR">
          <button id="bt1" label="PAINEL DE CONTAS" size="large" supertip="Clique para acessar o painel de situação de contas " onAction="BtOnActionCall_01" imageMso="ViewBackToColorView"/>
        </group>
        <group id="B" label="CADASTROS E RELATÓRIOS">
          <button id="bt2" label="CADASTRAR CLIENTES E CONTAS" size="large" supertip="Clique para acessar a tela de Cadastro de clientes" onAction="BtOnActionCall_02" imageMso="DistributionListAddNewMember"/>
          <button id="bt3" label="CONTROLE DE CONTAS RECEBIDAS" size="large" supertip="Clique para acessar a tela de Controle de contas recebidas" onAction="BtOnActionCall_03" imageMso="AddOrRemoveAttendees"/>
          <button id="bt6" label="RELATÓRIO POR SITUAÇÃO DO CLIENTE" size="large" supertip="Clique para gerar relatório por situação do cliente" onAction="BtOnActionCall_06" imageMso="BlogPublish"/>
          <button id="bt7" label="RELATÓRIO CLIENTES MÊS / ANO" size="large" supertip="Clique para gerar relatório por cliente mês / ano" onAction="BtOnActionCall_07" imageMso="PivotTableLayoutSubtotal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painel</vt:lpstr>
      <vt:lpstr>clientes</vt:lpstr>
      <vt:lpstr>C_recebidas</vt:lpstr>
      <vt:lpstr>relMesAno</vt:lpstr>
      <vt:lpstr>relSituac</vt:lpstr>
      <vt:lpstr>vendas</vt:lpstr>
      <vt:lpstr>vendasRCB</vt:lpstr>
      <vt:lpstr>relVdMesAno</vt:lpstr>
      <vt:lpstr>calculos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Gustavo</cp:lastModifiedBy>
  <dcterms:created xsi:type="dcterms:W3CDTF">2020-10-01T17:33:55Z</dcterms:created>
  <dcterms:modified xsi:type="dcterms:W3CDTF">2021-01-18T18:38:23Z</dcterms:modified>
</cp:coreProperties>
</file>